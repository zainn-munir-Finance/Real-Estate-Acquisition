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I COMPUTER\Desktop\"/>
    </mc:Choice>
  </mc:AlternateContent>
  <xr:revisionPtr revIDLastSave="0" documentId="13_ncr:1_{3B99ECD6-D811-4D38-8BC3-C30F2D0498DD}" xr6:coauthVersionLast="47" xr6:coauthVersionMax="47" xr10:uidLastSave="{00000000-0000-0000-0000-000000000000}"/>
  <bookViews>
    <workbookView xWindow="-120" yWindow="-120" windowWidth="20730" windowHeight="11160" tabRatio="868" xr2:uid="{00000000-000D-0000-FFFF-FFFF00000000}"/>
  </bookViews>
  <sheets>
    <sheet name="Assumption" sheetId="1" r:id="rId1"/>
    <sheet name="BOV " sheetId="2" r:id="rId2"/>
    <sheet name="Land" sheetId="4" r:id="rId3"/>
    <sheet name="POH " sheetId="10" r:id="rId4"/>
    <sheet name="Cash Flow Model" sheetId="3" r:id="rId5"/>
    <sheet name="IRR by Exit Year Analysis" sheetId="6" r:id="rId6"/>
    <sheet name="Loan Amortization " sheetId="7" r:id="rId7"/>
    <sheet name="RTO" sheetId="9" r:id="rId8"/>
    <sheet name="Property Tax Working " sheetId="8" r:id="rId9"/>
  </sheets>
  <definedNames>
    <definedName name="_xlnm._FilterDatabase" localSheetId="7" hidden="1">RTO!$A$12:$Q$32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0" l="1"/>
  <c r="M28" i="10"/>
  <c r="L28" i="10"/>
  <c r="K28" i="10"/>
  <c r="J28" i="10"/>
  <c r="I28" i="10"/>
  <c r="H28" i="10"/>
  <c r="G28" i="10"/>
  <c r="F28" i="10"/>
  <c r="E28" i="10"/>
  <c r="D28" i="10"/>
  <c r="B9" i="9"/>
  <c r="C33" i="9"/>
  <c r="F33" i="9"/>
  <c r="C37" i="4"/>
  <c r="C32" i="4"/>
  <c r="D4" i="4" l="1"/>
  <c r="E4" i="10"/>
  <c r="F4" i="10" s="1"/>
  <c r="G4" i="10" s="1"/>
  <c r="H4" i="10" s="1"/>
  <c r="I4" i="10" s="1"/>
  <c r="J4" i="10" s="1"/>
  <c r="K4" i="10" s="1"/>
  <c r="L4" i="10" s="1"/>
  <c r="M4" i="10" s="1"/>
  <c r="D4" i="10"/>
  <c r="C20" i="10"/>
  <c r="C17" i="10"/>
  <c r="C45" i="4"/>
  <c r="C33" i="4"/>
  <c r="E4" i="4" l="1"/>
  <c r="F4" i="4" s="1"/>
  <c r="G4" i="4" s="1"/>
  <c r="H4" i="4" s="1"/>
  <c r="I4" i="4" s="1"/>
  <c r="J4" i="4" s="1"/>
  <c r="K4" i="4" s="1"/>
  <c r="L4" i="4" s="1"/>
  <c r="M4" i="4" s="1"/>
  <c r="C52" i="4"/>
  <c r="R52" i="4"/>
  <c r="C51" i="4"/>
  <c r="R51" i="4"/>
  <c r="C50" i="4"/>
  <c r="R50" i="4"/>
  <c r="C49" i="4"/>
  <c r="O57" i="4"/>
  <c r="O47" i="4"/>
  <c r="O46" i="4"/>
  <c r="B5" i="2"/>
  <c r="C54" i="4"/>
  <c r="C57" i="4"/>
  <c r="C56" i="4"/>
  <c r="B42" i="4"/>
  <c r="D54" i="4" l="1"/>
  <c r="C27" i="10"/>
  <c r="O27" i="10"/>
  <c r="O28" i="10"/>
  <c r="O30" i="10"/>
  <c r="B31" i="10"/>
  <c r="C28" i="10"/>
  <c r="C22" i="10"/>
  <c r="C21" i="10"/>
  <c r="C18" i="10"/>
  <c r="C40" i="4"/>
  <c r="C39" i="4"/>
  <c r="C38" i="4"/>
  <c r="C41" i="4"/>
  <c r="C36" i="4"/>
  <c r="C35" i="4"/>
  <c r="C34" i="4"/>
  <c r="D56" i="4"/>
  <c r="E56" i="4" s="1"/>
  <c r="F56" i="4" s="1"/>
  <c r="G56" i="4" s="1"/>
  <c r="H56" i="4" s="1"/>
  <c r="I56" i="4" s="1"/>
  <c r="J56" i="4" s="1"/>
  <c r="K56" i="4" s="1"/>
  <c r="L56" i="4" s="1"/>
  <c r="M56" i="4" s="1"/>
  <c r="B24" i="10"/>
  <c r="O56" i="4"/>
  <c r="C55" i="4"/>
  <c r="O55" i="4" s="1"/>
  <c r="C30" i="10"/>
  <c r="O23" i="10"/>
  <c r="C29" i="10"/>
  <c r="O29" i="10" s="1"/>
  <c r="O17" i="10"/>
  <c r="O18" i="10"/>
  <c r="O32" i="4"/>
  <c r="O54" i="4"/>
  <c r="O36" i="4"/>
  <c r="O35" i="4"/>
  <c r="O34" i="4"/>
  <c r="O33" i="4"/>
  <c r="O59" i="4"/>
  <c r="C47" i="4"/>
  <c r="C46" i="4"/>
  <c r="O41" i="4"/>
  <c r="C23" i="10" l="1"/>
  <c r="D47" i="4"/>
  <c r="E47" i="4" s="1"/>
  <c r="F47" i="4" s="1"/>
  <c r="G47" i="4" s="1"/>
  <c r="H47" i="4" s="1"/>
  <c r="I47" i="4" s="1"/>
  <c r="J47" i="4" s="1"/>
  <c r="K47" i="4" s="1"/>
  <c r="L47" i="4" s="1"/>
  <c r="M47" i="4" s="1"/>
  <c r="D55" i="4"/>
  <c r="E55" i="4" s="1"/>
  <c r="F55" i="4" s="1"/>
  <c r="G55" i="4" s="1"/>
  <c r="H55" i="4" s="1"/>
  <c r="I55" i="4" s="1"/>
  <c r="J55" i="4" s="1"/>
  <c r="K55" i="4" s="1"/>
  <c r="L55" i="4" s="1"/>
  <c r="M55" i="4" s="1"/>
  <c r="O50" i="4"/>
  <c r="D46" i="4"/>
  <c r="E46" i="4" s="1"/>
  <c r="F46" i="4" s="1"/>
  <c r="G46" i="4" s="1"/>
  <c r="H46" i="4" s="1"/>
  <c r="I46" i="4" s="1"/>
  <c r="J46" i="4" s="1"/>
  <c r="K46" i="4" s="1"/>
  <c r="L46" i="4" s="1"/>
  <c r="M46" i="4" s="1"/>
  <c r="C31" i="10"/>
  <c r="B17" i="3" s="1"/>
  <c r="D29" i="10"/>
  <c r="O52" i="4"/>
  <c r="C48" i="4" l="1"/>
  <c r="C53" i="4"/>
  <c r="C58" i="4"/>
  <c r="D45" i="4"/>
  <c r="E45" i="4" s="1"/>
  <c r="F45" i="4" s="1"/>
  <c r="G45" i="4" s="1"/>
  <c r="H45" i="4" s="1"/>
  <c r="I45" i="4" s="1"/>
  <c r="J45" i="4" s="1"/>
  <c r="K45" i="4" s="1"/>
  <c r="L45" i="4" s="1"/>
  <c r="M45" i="4" s="1"/>
  <c r="B6" i="2"/>
  <c r="D57" i="4" l="1"/>
  <c r="E57" i="4" s="1"/>
  <c r="F57" i="4" s="1"/>
  <c r="G57" i="4" s="1"/>
  <c r="H57" i="4" s="1"/>
  <c r="I57" i="4" s="1"/>
  <c r="J57" i="4" s="1"/>
  <c r="K57" i="4" s="1"/>
  <c r="L57" i="4" s="1"/>
  <c r="M57" i="4" s="1"/>
  <c r="D58" i="4"/>
  <c r="E58" i="4" s="1"/>
  <c r="F58" i="4" s="1"/>
  <c r="G58" i="4" s="1"/>
  <c r="H58" i="4" s="1"/>
  <c r="I58" i="4" s="1"/>
  <c r="J58" i="4" s="1"/>
  <c r="K58" i="4" s="1"/>
  <c r="L58" i="4" s="1"/>
  <c r="M58" i="4" s="1"/>
  <c r="O58" i="4"/>
  <c r="O53" i="4"/>
  <c r="D53" i="4"/>
  <c r="E53" i="4" s="1"/>
  <c r="F53" i="4" s="1"/>
  <c r="G53" i="4" s="1"/>
  <c r="H53" i="4" s="1"/>
  <c r="I53" i="4" s="1"/>
  <c r="J53" i="4" s="1"/>
  <c r="K53" i="4" s="1"/>
  <c r="L53" i="4" s="1"/>
  <c r="M53" i="4" s="1"/>
  <c r="O48" i="4"/>
  <c r="D48" i="4"/>
  <c r="E48" i="4" s="1"/>
  <c r="F48" i="4" s="1"/>
  <c r="G48" i="4" s="1"/>
  <c r="H48" i="4" s="1"/>
  <c r="I48" i="4" s="1"/>
  <c r="J48" i="4" s="1"/>
  <c r="K48" i="4" s="1"/>
  <c r="L48" i="4" s="1"/>
  <c r="M48" i="4" s="1"/>
  <c r="O49" i="4"/>
  <c r="H6" i="8"/>
  <c r="G10" i="8"/>
  <c r="F10" i="8"/>
  <c r="E10" i="8"/>
  <c r="H9" i="8"/>
  <c r="H8" i="8"/>
  <c r="H7" i="8"/>
  <c r="H5" i="8"/>
  <c r="H4" i="8"/>
  <c r="B10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13" i="9"/>
  <c r="D22" i="9"/>
  <c r="E22" i="9" s="1"/>
  <c r="D23" i="9"/>
  <c r="E23" i="9" s="1"/>
  <c r="D24" i="9"/>
  <c r="E24" i="9" s="1"/>
  <c r="D25" i="9"/>
  <c r="E25" i="9" s="1"/>
  <c r="D26" i="9"/>
  <c r="E26" i="9" s="1"/>
  <c r="D27" i="9"/>
  <c r="E27" i="9" s="1"/>
  <c r="D28" i="9"/>
  <c r="E28" i="9" s="1"/>
  <c r="D29" i="9"/>
  <c r="D30" i="9"/>
  <c r="E30" i="9" s="1"/>
  <c r="D31" i="9"/>
  <c r="E31" i="9" s="1"/>
  <c r="D32" i="9"/>
  <c r="E32" i="9" s="1"/>
  <c r="C32" i="9"/>
  <c r="C31" i="9"/>
  <c r="C30" i="9"/>
  <c r="C29" i="9"/>
  <c r="C28" i="9"/>
  <c r="C27" i="9"/>
  <c r="C26" i="9"/>
  <c r="C25" i="9"/>
  <c r="C24" i="9"/>
  <c r="C23" i="9"/>
  <c r="C22" i="9"/>
  <c r="F29" i="10" l="1"/>
  <c r="J29" i="9"/>
  <c r="E29" i="9"/>
  <c r="J27" i="9"/>
  <c r="P22" i="9"/>
  <c r="I31" i="9"/>
  <c r="I32" i="9"/>
  <c r="I28" i="9"/>
  <c r="I24" i="9"/>
  <c r="N29" i="9"/>
  <c r="I27" i="9"/>
  <c r="J25" i="9"/>
  <c r="I23" i="9"/>
  <c r="N22" i="9"/>
  <c r="N25" i="9"/>
  <c r="I29" i="9"/>
  <c r="H22" i="9"/>
  <c r="I30" i="9"/>
  <c r="G25" i="9"/>
  <c r="I25" i="9"/>
  <c r="L22" i="9"/>
  <c r="G22" i="9"/>
  <c r="G31" i="9"/>
  <c r="G23" i="9"/>
  <c r="J31" i="9"/>
  <c r="J23" i="9"/>
  <c r="G27" i="9"/>
  <c r="N31" i="9"/>
  <c r="N27" i="9"/>
  <c r="N23" i="9"/>
  <c r="K22" i="9"/>
  <c r="G29" i="9"/>
  <c r="I26" i="9"/>
  <c r="M31" i="9"/>
  <c r="M29" i="9"/>
  <c r="M27" i="9"/>
  <c r="M25" i="9"/>
  <c r="M23" i="9"/>
  <c r="O22" i="9"/>
  <c r="J22" i="9"/>
  <c r="L32" i="9"/>
  <c r="P28" i="9"/>
  <c r="L26" i="9"/>
  <c r="L24" i="9"/>
  <c r="H24" i="9"/>
  <c r="K32" i="9"/>
  <c r="O28" i="9"/>
  <c r="G28" i="9"/>
  <c r="K26" i="9"/>
  <c r="K24" i="9"/>
  <c r="G24" i="9"/>
  <c r="P31" i="9"/>
  <c r="L29" i="9"/>
  <c r="H23" i="9"/>
  <c r="P32" i="9"/>
  <c r="H32" i="9"/>
  <c r="P30" i="9"/>
  <c r="L30" i="9"/>
  <c r="H30" i="9"/>
  <c r="L28" i="9"/>
  <c r="H28" i="9"/>
  <c r="P26" i="9"/>
  <c r="H26" i="9"/>
  <c r="P24" i="9"/>
  <c r="O32" i="9"/>
  <c r="G32" i="9"/>
  <c r="O30" i="9"/>
  <c r="K30" i="9"/>
  <c r="G30" i="9"/>
  <c r="K28" i="9"/>
  <c r="O26" i="9"/>
  <c r="G26" i="9"/>
  <c r="O24" i="9"/>
  <c r="N32" i="9"/>
  <c r="J32" i="9"/>
  <c r="L31" i="9"/>
  <c r="H31" i="9"/>
  <c r="N30" i="9"/>
  <c r="J30" i="9"/>
  <c r="P29" i="9"/>
  <c r="H29" i="9"/>
  <c r="N28" i="9"/>
  <c r="J28" i="9"/>
  <c r="P27" i="9"/>
  <c r="L27" i="9"/>
  <c r="H27" i="9"/>
  <c r="N26" i="9"/>
  <c r="J26" i="9"/>
  <c r="P25" i="9"/>
  <c r="L25" i="9"/>
  <c r="H25" i="9"/>
  <c r="N24" i="9"/>
  <c r="J24" i="9"/>
  <c r="P23" i="9"/>
  <c r="L23" i="9"/>
  <c r="M32" i="9"/>
  <c r="O31" i="9"/>
  <c r="K31" i="9"/>
  <c r="M30" i="9"/>
  <c r="O29" i="9"/>
  <c r="K29" i="9"/>
  <c r="M28" i="9"/>
  <c r="O27" i="9"/>
  <c r="K27" i="9"/>
  <c r="M26" i="9"/>
  <c r="O25" i="9"/>
  <c r="K25" i="9"/>
  <c r="M24" i="9"/>
  <c r="O23" i="9"/>
  <c r="K23" i="9"/>
  <c r="M22" i="9"/>
  <c r="I22" i="9"/>
  <c r="C6" i="10"/>
  <c r="D6" i="10" s="1"/>
  <c r="C11" i="10"/>
  <c r="D11" i="10" s="1"/>
  <c r="P9" i="10"/>
  <c r="C9" i="10"/>
  <c r="C10" i="10" s="1"/>
  <c r="P4" i="10"/>
  <c r="C4" i="10"/>
  <c r="D30" i="10"/>
  <c r="P40" i="4"/>
  <c r="E30" i="10" l="1"/>
  <c r="G29" i="10"/>
  <c r="Q31" i="9"/>
  <c r="Q32" i="9"/>
  <c r="Q22" i="9"/>
  <c r="Q25" i="9"/>
  <c r="Q29" i="9"/>
  <c r="Q26" i="9"/>
  <c r="Q28" i="9"/>
  <c r="Q27" i="9"/>
  <c r="Q23" i="9"/>
  <c r="Q30" i="9"/>
  <c r="Q24" i="9"/>
  <c r="D17" i="10"/>
  <c r="C14" i="10"/>
  <c r="C5" i="10"/>
  <c r="O9" i="10"/>
  <c r="D9" i="10"/>
  <c r="D18" i="10" s="1"/>
  <c r="D12" i="10"/>
  <c r="E11" i="10"/>
  <c r="E12" i="10" s="1"/>
  <c r="E6" i="10"/>
  <c r="D7" i="10"/>
  <c r="O4" i="10"/>
  <c r="P14" i="10"/>
  <c r="D5" i="10" l="1"/>
  <c r="F30" i="10"/>
  <c r="H29" i="10"/>
  <c r="E17" i="10"/>
  <c r="D20" i="10"/>
  <c r="E9" i="10"/>
  <c r="D10" i="10"/>
  <c r="D14" i="10"/>
  <c r="D27" i="10" s="1"/>
  <c r="F11" i="10"/>
  <c r="G11" i="10" s="1"/>
  <c r="G12" i="10" s="1"/>
  <c r="F6" i="10"/>
  <c r="E7" i="10"/>
  <c r="S30" i="10"/>
  <c r="O14" i="10"/>
  <c r="C26" i="4"/>
  <c r="D26" i="4" s="1"/>
  <c r="C21" i="4"/>
  <c r="D21" i="4" s="1"/>
  <c r="C16" i="4"/>
  <c r="D16" i="4" s="1"/>
  <c r="C11" i="4"/>
  <c r="D11" i="4" s="1"/>
  <c r="C6" i="4"/>
  <c r="D6" i="4" s="1"/>
  <c r="D32" i="4" s="1"/>
  <c r="C4" i="4"/>
  <c r="D21" i="9"/>
  <c r="E21" i="9" s="1"/>
  <c r="C21" i="9"/>
  <c r="D20" i="9"/>
  <c r="E20" i="9" s="1"/>
  <c r="C20" i="9"/>
  <c r="D19" i="9"/>
  <c r="E19" i="9" s="1"/>
  <c r="C19" i="9"/>
  <c r="D18" i="9"/>
  <c r="E18" i="9" s="1"/>
  <c r="C18" i="9"/>
  <c r="D17" i="9"/>
  <c r="E17" i="9" s="1"/>
  <c r="C17" i="9"/>
  <c r="D16" i="9"/>
  <c r="E16" i="9" s="1"/>
  <c r="C16" i="9"/>
  <c r="D15" i="9"/>
  <c r="E15" i="9" s="1"/>
  <c r="C15" i="9"/>
  <c r="D14" i="9"/>
  <c r="E14" i="9" s="1"/>
  <c r="C14" i="9"/>
  <c r="D13" i="9"/>
  <c r="E13" i="9" s="1"/>
  <c r="C13" i="9"/>
  <c r="C14" i="4"/>
  <c r="B8" i="7"/>
  <c r="B6" i="7"/>
  <c r="L38" i="6"/>
  <c r="L37" i="6"/>
  <c r="K37" i="6"/>
  <c r="L36" i="6"/>
  <c r="K36" i="6"/>
  <c r="J36" i="6"/>
  <c r="L35" i="6"/>
  <c r="K35" i="6"/>
  <c r="J35" i="6"/>
  <c r="I35" i="6"/>
  <c r="L34" i="6"/>
  <c r="K34" i="6"/>
  <c r="J34" i="6"/>
  <c r="I34" i="6"/>
  <c r="H34" i="6"/>
  <c r="L33" i="6"/>
  <c r="K33" i="6"/>
  <c r="J33" i="6"/>
  <c r="I33" i="6"/>
  <c r="H33" i="6"/>
  <c r="G33" i="6"/>
  <c r="L32" i="6"/>
  <c r="K32" i="6"/>
  <c r="J32" i="6"/>
  <c r="I32" i="6"/>
  <c r="H32" i="6"/>
  <c r="G32" i="6"/>
  <c r="F32" i="6"/>
  <c r="L31" i="6"/>
  <c r="K31" i="6"/>
  <c r="J31" i="6"/>
  <c r="I31" i="6"/>
  <c r="H31" i="6"/>
  <c r="G31" i="6"/>
  <c r="F31" i="6"/>
  <c r="E31" i="6"/>
  <c r="L30" i="6"/>
  <c r="K30" i="6"/>
  <c r="J30" i="6"/>
  <c r="I30" i="6"/>
  <c r="H30" i="6"/>
  <c r="G30" i="6"/>
  <c r="F30" i="6"/>
  <c r="E30" i="6"/>
  <c r="D30" i="6"/>
  <c r="L25" i="6"/>
  <c r="L24" i="6"/>
  <c r="K24" i="6"/>
  <c r="L23" i="6"/>
  <c r="K23" i="6"/>
  <c r="J23" i="6"/>
  <c r="L22" i="6"/>
  <c r="K22" i="6"/>
  <c r="J22" i="6"/>
  <c r="I22" i="6"/>
  <c r="L21" i="6"/>
  <c r="K21" i="6"/>
  <c r="J21" i="6"/>
  <c r="I21" i="6"/>
  <c r="H21" i="6"/>
  <c r="L20" i="6"/>
  <c r="K20" i="6"/>
  <c r="J20" i="6"/>
  <c r="I20" i="6"/>
  <c r="H20" i="6"/>
  <c r="G20" i="6"/>
  <c r="L19" i="6"/>
  <c r="K19" i="6"/>
  <c r="J19" i="6"/>
  <c r="I19" i="6"/>
  <c r="H19" i="6"/>
  <c r="G19" i="6"/>
  <c r="F19" i="6"/>
  <c r="L18" i="6"/>
  <c r="K18" i="6"/>
  <c r="J18" i="6"/>
  <c r="I18" i="6"/>
  <c r="H18" i="6"/>
  <c r="G18" i="6"/>
  <c r="F18" i="6"/>
  <c r="E18" i="6"/>
  <c r="L17" i="6"/>
  <c r="K17" i="6"/>
  <c r="J17" i="6"/>
  <c r="I17" i="6"/>
  <c r="H17" i="6"/>
  <c r="G17" i="6"/>
  <c r="F17" i="6"/>
  <c r="E17" i="6"/>
  <c r="D17" i="6"/>
  <c r="P24" i="4"/>
  <c r="C24" i="4"/>
  <c r="P19" i="4"/>
  <c r="C19" i="4"/>
  <c r="P14" i="4"/>
  <c r="P9" i="4"/>
  <c r="C9" i="4"/>
  <c r="P4" i="4"/>
  <c r="B8" i="3"/>
  <c r="B6" i="3"/>
  <c r="B34" i="2"/>
  <c r="D21" i="2" s="1"/>
  <c r="D19" i="2"/>
  <c r="C19" i="2"/>
  <c r="D4" i="2"/>
  <c r="C4" i="2"/>
  <c r="C19" i="1"/>
  <c r="B19" i="1"/>
  <c r="D31" i="10" l="1"/>
  <c r="G30" i="10"/>
  <c r="I29" i="10"/>
  <c r="F17" i="10"/>
  <c r="C10" i="4"/>
  <c r="C20" i="4"/>
  <c r="C25" i="4"/>
  <c r="C15" i="4"/>
  <c r="N13" i="9"/>
  <c r="J21" i="9"/>
  <c r="H13" i="9"/>
  <c r="G13" i="9"/>
  <c r="C5" i="4"/>
  <c r="N20" i="9"/>
  <c r="N15" i="9"/>
  <c r="N16" i="9"/>
  <c r="N17" i="9"/>
  <c r="N18" i="9"/>
  <c r="E5" i="10"/>
  <c r="E20" i="10"/>
  <c r="E10" i="10"/>
  <c r="E18" i="10"/>
  <c r="F9" i="10"/>
  <c r="H11" i="10"/>
  <c r="H12" i="10" s="1"/>
  <c r="F12" i="10"/>
  <c r="E14" i="10"/>
  <c r="E27" i="10" s="1"/>
  <c r="E31" i="10" s="1"/>
  <c r="G6" i="10"/>
  <c r="F7" i="10"/>
  <c r="C29" i="4"/>
  <c r="D27" i="4"/>
  <c r="E26" i="4"/>
  <c r="D22" i="4"/>
  <c r="E21" i="4"/>
  <c r="D17" i="4"/>
  <c r="E16" i="4"/>
  <c r="D7" i="4"/>
  <c r="E6" i="4"/>
  <c r="E11" i="4"/>
  <c r="D12" i="4"/>
  <c r="D19" i="4"/>
  <c r="D35" i="4" s="1"/>
  <c r="N14" i="9"/>
  <c r="N19" i="9"/>
  <c r="O19" i="9"/>
  <c r="P14" i="9"/>
  <c r="P18" i="9"/>
  <c r="N21" i="9"/>
  <c r="C24" i="10"/>
  <c r="B14" i="3" s="1"/>
  <c r="P15" i="9"/>
  <c r="P19" i="9"/>
  <c r="P16" i="9"/>
  <c r="P13" i="9"/>
  <c r="P17" i="9"/>
  <c r="P20" i="9"/>
  <c r="G14" i="9"/>
  <c r="O15" i="9"/>
  <c r="L13" i="9"/>
  <c r="H14" i="9"/>
  <c r="L14" i="9"/>
  <c r="H15" i="9"/>
  <c r="L15" i="9"/>
  <c r="H16" i="9"/>
  <c r="L16" i="9"/>
  <c r="H17" i="9"/>
  <c r="L17" i="9"/>
  <c r="H18" i="9"/>
  <c r="L18" i="9"/>
  <c r="H19" i="9"/>
  <c r="L19" i="9"/>
  <c r="H20" i="9"/>
  <c r="L20" i="9"/>
  <c r="H21" i="9"/>
  <c r="L21" i="9"/>
  <c r="P21" i="9"/>
  <c r="O13" i="9"/>
  <c r="K14" i="9"/>
  <c r="K15" i="9"/>
  <c r="G16" i="9"/>
  <c r="O16" i="9"/>
  <c r="K17" i="9"/>
  <c r="G18" i="9"/>
  <c r="O18" i="9"/>
  <c r="G19" i="9"/>
  <c r="G20" i="9"/>
  <c r="O20" i="9"/>
  <c r="K21" i="9"/>
  <c r="O21" i="9"/>
  <c r="I13" i="9"/>
  <c r="M13" i="9"/>
  <c r="I14" i="9"/>
  <c r="M14" i="9"/>
  <c r="I15" i="9"/>
  <c r="M15" i="9"/>
  <c r="I16" i="9"/>
  <c r="M16" i="9"/>
  <c r="I17" i="9"/>
  <c r="M17" i="9"/>
  <c r="I18" i="9"/>
  <c r="M18" i="9"/>
  <c r="I19" i="9"/>
  <c r="M19" i="9"/>
  <c r="I20" i="9"/>
  <c r="M20" i="9"/>
  <c r="I21" i="9"/>
  <c r="M21" i="9"/>
  <c r="K13" i="9"/>
  <c r="O14" i="9"/>
  <c r="G15" i="9"/>
  <c r="K16" i="9"/>
  <c r="G17" i="9"/>
  <c r="O17" i="9"/>
  <c r="K18" i="9"/>
  <c r="K19" i="9"/>
  <c r="K20" i="9"/>
  <c r="G21" i="9"/>
  <c r="J13" i="9"/>
  <c r="J14" i="9"/>
  <c r="J15" i="9"/>
  <c r="J16" i="9"/>
  <c r="J17" i="9"/>
  <c r="J18" i="9"/>
  <c r="J19" i="9"/>
  <c r="J20" i="9"/>
  <c r="B21" i="2"/>
  <c r="B5" i="7" s="1"/>
  <c r="C21" i="2"/>
  <c r="D24" i="4"/>
  <c r="D36" i="4" s="1"/>
  <c r="O4" i="4"/>
  <c r="O24" i="4"/>
  <c r="D14" i="4"/>
  <c r="D34" i="4" s="1"/>
  <c r="O19" i="4"/>
  <c r="D9" i="4"/>
  <c r="D33" i="4" s="1"/>
  <c r="O9" i="4"/>
  <c r="O14" i="4"/>
  <c r="P29" i="4"/>
  <c r="E7" i="4" l="1"/>
  <c r="E32" i="4"/>
  <c r="H30" i="10"/>
  <c r="J29" i="10"/>
  <c r="G17" i="10"/>
  <c r="C33" i="10"/>
  <c r="C32" i="10"/>
  <c r="F5" i="10"/>
  <c r="F20" i="10"/>
  <c r="I11" i="10"/>
  <c r="J11" i="10" s="1"/>
  <c r="F10" i="10"/>
  <c r="F18" i="10"/>
  <c r="G9" i="10"/>
  <c r="F14" i="10"/>
  <c r="F27" i="10" s="1"/>
  <c r="F31" i="10" s="1"/>
  <c r="G7" i="10"/>
  <c r="H6" i="10"/>
  <c r="H7" i="10" s="1"/>
  <c r="D37" i="4"/>
  <c r="D15" i="4"/>
  <c r="D29" i="4"/>
  <c r="E27" i="4"/>
  <c r="F26" i="4"/>
  <c r="E24" i="4"/>
  <c r="E36" i="4" s="1"/>
  <c r="D25" i="4"/>
  <c r="E22" i="4"/>
  <c r="F21" i="4"/>
  <c r="E19" i="4"/>
  <c r="E35" i="4" s="1"/>
  <c r="D20" i="4"/>
  <c r="E17" i="4"/>
  <c r="F16" i="4"/>
  <c r="E14" i="4"/>
  <c r="E34" i="4" s="1"/>
  <c r="F6" i="4"/>
  <c r="E12" i="4"/>
  <c r="F11" i="4"/>
  <c r="E9" i="4"/>
  <c r="E33" i="4" s="1"/>
  <c r="D10" i="4"/>
  <c r="E54" i="4"/>
  <c r="D5" i="4"/>
  <c r="B7" i="3"/>
  <c r="P33" i="9"/>
  <c r="N33" i="9"/>
  <c r="K19" i="10" s="1"/>
  <c r="Q20" i="9"/>
  <c r="Q19" i="9"/>
  <c r="O33" i="9"/>
  <c r="L19" i="10" s="1"/>
  <c r="Q14" i="9"/>
  <c r="C42" i="4"/>
  <c r="Q21" i="9"/>
  <c r="M33" i="9"/>
  <c r="J19" i="10" s="1"/>
  <c r="Q16" i="9"/>
  <c r="L33" i="9"/>
  <c r="I19" i="10" s="1"/>
  <c r="Q13" i="9"/>
  <c r="G33" i="9"/>
  <c r="D19" i="10" s="1"/>
  <c r="J33" i="9"/>
  <c r="G19" i="10" s="1"/>
  <c r="Q15" i="9"/>
  <c r="Q17" i="9"/>
  <c r="K33" i="9"/>
  <c r="H19" i="10" s="1"/>
  <c r="I33" i="9"/>
  <c r="F19" i="10" s="1"/>
  <c r="Q18" i="9"/>
  <c r="H33" i="9"/>
  <c r="E19" i="10" s="1"/>
  <c r="O29" i="4"/>
  <c r="F23" i="10" l="1"/>
  <c r="F7" i="4"/>
  <c r="F32" i="4"/>
  <c r="B13" i="3"/>
  <c r="C59" i="4"/>
  <c r="D49" i="4"/>
  <c r="D50" i="4"/>
  <c r="D40" i="4" s="1"/>
  <c r="D52" i="4"/>
  <c r="D51" i="4"/>
  <c r="I30" i="10"/>
  <c r="D24" i="10"/>
  <c r="C14" i="3" s="1"/>
  <c r="D23" i="10"/>
  <c r="E24" i="10"/>
  <c r="D14" i="3" s="1"/>
  <c r="E23" i="10"/>
  <c r="K29" i="10"/>
  <c r="H17" i="10"/>
  <c r="I12" i="10"/>
  <c r="G6" i="4"/>
  <c r="M19" i="10"/>
  <c r="C17" i="3"/>
  <c r="G5" i="10"/>
  <c r="G20" i="10"/>
  <c r="G10" i="10"/>
  <c r="G18" i="10"/>
  <c r="H9" i="10"/>
  <c r="G14" i="10"/>
  <c r="G27" i="10" s="1"/>
  <c r="G31" i="10" s="1"/>
  <c r="K11" i="10"/>
  <c r="J12" i="10"/>
  <c r="I6" i="10"/>
  <c r="F24" i="10"/>
  <c r="E14" i="3" s="1"/>
  <c r="E37" i="4"/>
  <c r="E15" i="4"/>
  <c r="E29" i="4"/>
  <c r="G26" i="4"/>
  <c r="F27" i="4"/>
  <c r="F24" i="4"/>
  <c r="F36" i="4" s="1"/>
  <c r="E25" i="4"/>
  <c r="G21" i="4"/>
  <c r="F22" i="4"/>
  <c r="F19" i="4"/>
  <c r="F35" i="4" s="1"/>
  <c r="E20" i="4"/>
  <c r="G16" i="4"/>
  <c r="F17" i="4"/>
  <c r="F14" i="4"/>
  <c r="F34" i="4" s="1"/>
  <c r="G11" i="4"/>
  <c r="F12" i="4"/>
  <c r="F9" i="4"/>
  <c r="F33" i="4" s="1"/>
  <c r="E10" i="4"/>
  <c r="F54" i="4"/>
  <c r="E5" i="4"/>
  <c r="Q33" i="9"/>
  <c r="B60" i="4"/>
  <c r="B62" i="4" s="1"/>
  <c r="D41" i="4"/>
  <c r="H6" i="4" l="1"/>
  <c r="H32" i="4" s="1"/>
  <c r="G32" i="4"/>
  <c r="E49" i="4"/>
  <c r="E50" i="4"/>
  <c r="E40" i="4" s="1"/>
  <c r="E52" i="4"/>
  <c r="E51" i="4"/>
  <c r="D32" i="10"/>
  <c r="G23" i="10"/>
  <c r="D33" i="10"/>
  <c r="J30" i="10"/>
  <c r="L29" i="10"/>
  <c r="I17" i="10"/>
  <c r="G7" i="4"/>
  <c r="E33" i="10"/>
  <c r="D17" i="3"/>
  <c r="H5" i="10"/>
  <c r="H20" i="10"/>
  <c r="H10" i="10"/>
  <c r="H18" i="10"/>
  <c r="I9" i="10"/>
  <c r="H14" i="10"/>
  <c r="H27" i="10" s="1"/>
  <c r="H31" i="10" s="1"/>
  <c r="L11" i="10"/>
  <c r="K12" i="10"/>
  <c r="I7" i="10"/>
  <c r="J6" i="10"/>
  <c r="G24" i="10"/>
  <c r="F14" i="3" s="1"/>
  <c r="E32" i="10"/>
  <c r="F37" i="4"/>
  <c r="F15" i="4"/>
  <c r="F29" i="4"/>
  <c r="H26" i="4"/>
  <c r="G27" i="4"/>
  <c r="G24" i="4"/>
  <c r="G36" i="4" s="1"/>
  <c r="F25" i="4"/>
  <c r="H21" i="4"/>
  <c r="G22" i="4"/>
  <c r="G19" i="4"/>
  <c r="G35" i="4" s="1"/>
  <c r="F20" i="4"/>
  <c r="H16" i="4"/>
  <c r="G17" i="4"/>
  <c r="G14" i="4"/>
  <c r="G34" i="4" s="1"/>
  <c r="H11" i="4"/>
  <c r="G12" i="4"/>
  <c r="G9" i="4"/>
  <c r="G33" i="4" s="1"/>
  <c r="F10" i="4"/>
  <c r="I6" i="4"/>
  <c r="I32" i="4" s="1"/>
  <c r="H7" i="4"/>
  <c r="G54" i="4"/>
  <c r="F5" i="4"/>
  <c r="B61" i="4"/>
  <c r="E41" i="4"/>
  <c r="D5" i="2"/>
  <c r="D6" i="2" s="1"/>
  <c r="C5" i="2"/>
  <c r="C6" i="2" s="1"/>
  <c r="D42" i="4"/>
  <c r="D59" i="4" s="1"/>
  <c r="B15" i="3"/>
  <c r="F49" i="4" l="1"/>
  <c r="F50" i="4"/>
  <c r="F40" i="4" s="1"/>
  <c r="F52" i="4"/>
  <c r="F51" i="4"/>
  <c r="H23" i="10"/>
  <c r="K30" i="10"/>
  <c r="M29" i="10"/>
  <c r="J17" i="10"/>
  <c r="F33" i="10"/>
  <c r="E17" i="3"/>
  <c r="I5" i="10"/>
  <c r="I20" i="10"/>
  <c r="I10" i="10"/>
  <c r="I18" i="10"/>
  <c r="J9" i="10"/>
  <c r="I14" i="10"/>
  <c r="I27" i="10" s="1"/>
  <c r="I31" i="10" s="1"/>
  <c r="M11" i="10"/>
  <c r="M12" i="10" s="1"/>
  <c r="L12" i="10"/>
  <c r="H24" i="10"/>
  <c r="G14" i="3" s="1"/>
  <c r="F32" i="10"/>
  <c r="K6" i="10"/>
  <c r="J7" i="10"/>
  <c r="G37" i="4"/>
  <c r="G15" i="4"/>
  <c r="G29" i="4"/>
  <c r="I26" i="4"/>
  <c r="H27" i="4"/>
  <c r="H24" i="4"/>
  <c r="H36" i="4" s="1"/>
  <c r="G25" i="4"/>
  <c r="I21" i="4"/>
  <c r="H22" i="4"/>
  <c r="H19" i="4"/>
  <c r="H35" i="4" s="1"/>
  <c r="G20" i="4"/>
  <c r="I16" i="4"/>
  <c r="H17" i="4"/>
  <c r="H14" i="4"/>
  <c r="H34" i="4" s="1"/>
  <c r="I11" i="4"/>
  <c r="H12" i="4"/>
  <c r="H9" i="4"/>
  <c r="H33" i="4" s="1"/>
  <c r="G10" i="4"/>
  <c r="J6" i="4"/>
  <c r="J32" i="4" s="1"/>
  <c r="I7" i="4"/>
  <c r="H54" i="4"/>
  <c r="G5" i="4"/>
  <c r="E42" i="4"/>
  <c r="E59" i="4" s="1"/>
  <c r="D20" i="2"/>
  <c r="D27" i="2" s="1"/>
  <c r="D17" i="2"/>
  <c r="C13" i="3"/>
  <c r="C15" i="3" s="1"/>
  <c r="B17" i="2"/>
  <c r="B20" i="2"/>
  <c r="B5" i="3"/>
  <c r="E6" i="3" s="1"/>
  <c r="C20" i="2"/>
  <c r="C17" i="2"/>
  <c r="F41" i="4"/>
  <c r="I23" i="10" l="1"/>
  <c r="G49" i="4"/>
  <c r="G52" i="4"/>
  <c r="G51" i="4"/>
  <c r="G50" i="4"/>
  <c r="G40" i="4" s="1"/>
  <c r="L30" i="10"/>
  <c r="K17" i="10"/>
  <c r="C27" i="2"/>
  <c r="G33" i="10"/>
  <c r="F17" i="3"/>
  <c r="J5" i="10"/>
  <c r="J20" i="10"/>
  <c r="J10" i="10"/>
  <c r="J18" i="10"/>
  <c r="K9" i="10"/>
  <c r="J14" i="10"/>
  <c r="J27" i="10" s="1"/>
  <c r="J31" i="10" s="1"/>
  <c r="I24" i="10"/>
  <c r="H14" i="3" s="1"/>
  <c r="K7" i="10"/>
  <c r="L6" i="10"/>
  <c r="G32" i="10"/>
  <c r="H37" i="4"/>
  <c r="H15" i="4"/>
  <c r="H29" i="4"/>
  <c r="J26" i="4"/>
  <c r="I27" i="4"/>
  <c r="I24" i="4"/>
  <c r="I36" i="4" s="1"/>
  <c r="H25" i="4"/>
  <c r="J21" i="4"/>
  <c r="I22" i="4"/>
  <c r="I19" i="4"/>
  <c r="I35" i="4" s="1"/>
  <c r="H20" i="4"/>
  <c r="J16" i="4"/>
  <c r="I17" i="4"/>
  <c r="I14" i="4"/>
  <c r="I34" i="4" s="1"/>
  <c r="J11" i="4"/>
  <c r="I12" i="4"/>
  <c r="I9" i="4"/>
  <c r="I33" i="4" s="1"/>
  <c r="H10" i="4"/>
  <c r="K6" i="4"/>
  <c r="K32" i="4" s="1"/>
  <c r="J7" i="4"/>
  <c r="H5" i="4"/>
  <c r="I54" i="4"/>
  <c r="D13" i="3"/>
  <c r="D15" i="3" s="1"/>
  <c r="B36" i="6"/>
  <c r="B32" i="6"/>
  <c r="B37" i="6"/>
  <c r="B33" i="6"/>
  <c r="B34" i="6"/>
  <c r="B30" i="6"/>
  <c r="B40" i="3"/>
  <c r="B35" i="6"/>
  <c r="B39" i="6"/>
  <c r="B38" i="6"/>
  <c r="B31" i="6"/>
  <c r="E7" i="3"/>
  <c r="E8" i="3" s="1"/>
  <c r="G41" i="4"/>
  <c r="B4" i="7"/>
  <c r="B24" i="2"/>
  <c r="B23" i="2" s="1"/>
  <c r="B22" i="2"/>
  <c r="F42" i="4"/>
  <c r="F59" i="4" s="1"/>
  <c r="C22" i="2"/>
  <c r="C24" i="2"/>
  <c r="C23" i="2" s="1"/>
  <c r="B27" i="2"/>
  <c r="D22" i="2"/>
  <c r="D24" i="2"/>
  <c r="D23" i="2" s="1"/>
  <c r="H49" i="4" l="1"/>
  <c r="H52" i="4"/>
  <c r="H51" i="4"/>
  <c r="H50" i="4"/>
  <c r="H40" i="4" s="1"/>
  <c r="J23" i="10"/>
  <c r="M30" i="10"/>
  <c r="L17" i="10"/>
  <c r="C28" i="2"/>
  <c r="H33" i="10"/>
  <c r="G17" i="3"/>
  <c r="K5" i="10"/>
  <c r="K20" i="10"/>
  <c r="K10" i="10"/>
  <c r="K18" i="10"/>
  <c r="L9" i="10"/>
  <c r="K14" i="10"/>
  <c r="K27" i="10" s="1"/>
  <c r="K31" i="10" s="1"/>
  <c r="J24" i="10"/>
  <c r="I14" i="3" s="1"/>
  <c r="H32" i="10"/>
  <c r="M6" i="10"/>
  <c r="M7" i="10" s="1"/>
  <c r="L7" i="10"/>
  <c r="I37" i="4"/>
  <c r="I15" i="4"/>
  <c r="I29" i="4"/>
  <c r="K26" i="4"/>
  <c r="J27" i="4"/>
  <c r="J24" i="4"/>
  <c r="J36" i="4" s="1"/>
  <c r="I25" i="4"/>
  <c r="K21" i="4"/>
  <c r="J22" i="4"/>
  <c r="J19" i="4"/>
  <c r="J35" i="4" s="1"/>
  <c r="I20" i="4"/>
  <c r="K16" i="4"/>
  <c r="J17" i="4"/>
  <c r="J14" i="4"/>
  <c r="J34" i="4" s="1"/>
  <c r="K11" i="4"/>
  <c r="J12" i="4"/>
  <c r="J9" i="4"/>
  <c r="J33" i="4" s="1"/>
  <c r="I10" i="4"/>
  <c r="L6" i="4"/>
  <c r="L32" i="4" s="1"/>
  <c r="K7" i="4"/>
  <c r="I5" i="4"/>
  <c r="J54" i="4"/>
  <c r="C25" i="2"/>
  <c r="G42" i="4"/>
  <c r="G59" i="4" s="1"/>
  <c r="B25" i="6"/>
  <c r="B21" i="6"/>
  <c r="B17" i="6"/>
  <c r="J10" i="6"/>
  <c r="F10" i="6"/>
  <c r="B10" i="6"/>
  <c r="B26" i="6"/>
  <c r="B22" i="6"/>
  <c r="B18" i="6"/>
  <c r="B23" i="6"/>
  <c r="B20" i="6"/>
  <c r="H10" i="6"/>
  <c r="C10" i="6"/>
  <c r="G10" i="6"/>
  <c r="B24" i="6"/>
  <c r="B19" i="6"/>
  <c r="E10" i="6"/>
  <c r="B39" i="3"/>
  <c r="D10" i="6"/>
  <c r="K10" i="6"/>
  <c r="I10" i="6"/>
  <c r="D25" i="2"/>
  <c r="E13" i="3"/>
  <c r="E15" i="3" s="1"/>
  <c r="B11" i="7"/>
  <c r="B7" i="7"/>
  <c r="D28" i="2"/>
  <c r="B25" i="2"/>
  <c r="I49" i="4" l="1"/>
  <c r="I50" i="4"/>
  <c r="I40" i="4" s="1"/>
  <c r="I52" i="4"/>
  <c r="I51" i="4"/>
  <c r="K23" i="10"/>
  <c r="M17" i="10"/>
  <c r="I33" i="10"/>
  <c r="H17" i="3"/>
  <c r="L5" i="10"/>
  <c r="L20" i="10"/>
  <c r="L23" i="10" s="1"/>
  <c r="L10" i="10"/>
  <c r="L18" i="10"/>
  <c r="M9" i="10"/>
  <c r="L14" i="10"/>
  <c r="L27" i="10" s="1"/>
  <c r="L31" i="10" s="1"/>
  <c r="I32" i="10"/>
  <c r="K24" i="10"/>
  <c r="J14" i="3" s="1"/>
  <c r="J37" i="4"/>
  <c r="J15" i="4"/>
  <c r="J29" i="4"/>
  <c r="L26" i="4"/>
  <c r="K27" i="4"/>
  <c r="K24" i="4"/>
  <c r="K36" i="4" s="1"/>
  <c r="J25" i="4"/>
  <c r="L21" i="4"/>
  <c r="K22" i="4"/>
  <c r="K19" i="4"/>
  <c r="K35" i="4" s="1"/>
  <c r="J20" i="4"/>
  <c r="L16" i="4"/>
  <c r="K17" i="4"/>
  <c r="K14" i="4"/>
  <c r="K34" i="4" s="1"/>
  <c r="L11" i="4"/>
  <c r="K12" i="4"/>
  <c r="K9" i="4"/>
  <c r="K33" i="4" s="1"/>
  <c r="J10" i="4"/>
  <c r="M6" i="4"/>
  <c r="L7" i="4"/>
  <c r="J5" i="4"/>
  <c r="K54" i="4"/>
  <c r="H41" i="4"/>
  <c r="H42" i="4" s="1"/>
  <c r="H59" i="4" s="1"/>
  <c r="J12" i="7"/>
  <c r="F12" i="7"/>
  <c r="B12" i="7"/>
  <c r="I12" i="7"/>
  <c r="E12" i="7"/>
  <c r="C12" i="7"/>
  <c r="H12" i="7"/>
  <c r="K12" i="7"/>
  <c r="D12" i="7"/>
  <c r="G12" i="7"/>
  <c r="B13" i="7"/>
  <c r="F13" i="3"/>
  <c r="F15" i="3" s="1"/>
  <c r="M7" i="4" l="1"/>
  <c r="M32" i="4"/>
  <c r="J49" i="4"/>
  <c r="J50" i="4"/>
  <c r="J40" i="4" s="1"/>
  <c r="J52" i="4"/>
  <c r="J51" i="4"/>
  <c r="J33" i="10"/>
  <c r="I17" i="3"/>
  <c r="M5" i="10"/>
  <c r="M20" i="10"/>
  <c r="M23" i="10" s="1"/>
  <c r="M10" i="10"/>
  <c r="M18" i="10"/>
  <c r="M14" i="10"/>
  <c r="M27" i="10" s="1"/>
  <c r="L24" i="10"/>
  <c r="K14" i="3" s="1"/>
  <c r="J32" i="10"/>
  <c r="K37" i="4"/>
  <c r="K15" i="4"/>
  <c r="K29" i="4"/>
  <c r="M26" i="4"/>
  <c r="L27" i="4"/>
  <c r="L24" i="4"/>
  <c r="L36" i="4" s="1"/>
  <c r="K25" i="4"/>
  <c r="M21" i="4"/>
  <c r="L22" i="4"/>
  <c r="L19" i="4"/>
  <c r="L35" i="4" s="1"/>
  <c r="K20" i="4"/>
  <c r="M16" i="4"/>
  <c r="L17" i="4"/>
  <c r="L14" i="4"/>
  <c r="L34" i="4" s="1"/>
  <c r="M11" i="4"/>
  <c r="M12" i="4" s="1"/>
  <c r="L12" i="4"/>
  <c r="L9" i="4"/>
  <c r="L33" i="4" s="1"/>
  <c r="K10" i="4"/>
  <c r="J41" i="4"/>
  <c r="K5" i="4"/>
  <c r="L54" i="4"/>
  <c r="I41" i="4"/>
  <c r="I42" i="4" s="1"/>
  <c r="I59" i="4" s="1"/>
  <c r="C22" i="3"/>
  <c r="H21" i="3"/>
  <c r="D21" i="3"/>
  <c r="G21" i="3"/>
  <c r="G13" i="3"/>
  <c r="G15" i="3" s="1"/>
  <c r="E21" i="3"/>
  <c r="F21" i="3"/>
  <c r="K21" i="3"/>
  <c r="I21" i="3"/>
  <c r="B14" i="7"/>
  <c r="L12" i="7"/>
  <c r="C21" i="3"/>
  <c r="L21" i="3"/>
  <c r="J21" i="3"/>
  <c r="M31" i="10" l="1"/>
  <c r="J42" i="4"/>
  <c r="J59" i="4" s="1"/>
  <c r="K49" i="4"/>
  <c r="K52" i="4"/>
  <c r="K51" i="4"/>
  <c r="K50" i="4"/>
  <c r="K40" i="4" s="1"/>
  <c r="M17" i="4"/>
  <c r="M22" i="4"/>
  <c r="M27" i="4"/>
  <c r="K33" i="10"/>
  <c r="J17" i="3"/>
  <c r="M24" i="10"/>
  <c r="L14" i="3" s="1"/>
  <c r="K32" i="10"/>
  <c r="L37" i="4"/>
  <c r="L15" i="4"/>
  <c r="L29" i="4"/>
  <c r="M24" i="4"/>
  <c r="M25" i="4" s="1"/>
  <c r="L25" i="4"/>
  <c r="M19" i="4"/>
  <c r="M20" i="4" s="1"/>
  <c r="L20" i="4"/>
  <c r="M14" i="4"/>
  <c r="M34" i="4" s="1"/>
  <c r="M9" i="4"/>
  <c r="L10" i="4"/>
  <c r="L5" i="4"/>
  <c r="C23" i="3"/>
  <c r="B15" i="7"/>
  <c r="H13" i="3"/>
  <c r="H15" i="3" s="1"/>
  <c r="I13" i="3" l="1"/>
  <c r="I15" i="3" s="1"/>
  <c r="M54" i="4"/>
  <c r="L49" i="4"/>
  <c r="L52" i="4"/>
  <c r="L51" i="4"/>
  <c r="L50" i="4"/>
  <c r="L40" i="4" s="1"/>
  <c r="M10" i="4"/>
  <c r="M33" i="4"/>
  <c r="M35" i="4"/>
  <c r="M36" i="4"/>
  <c r="L33" i="10"/>
  <c r="K17" i="3"/>
  <c r="L32" i="10"/>
  <c r="M37" i="4"/>
  <c r="M15" i="4"/>
  <c r="M29" i="4"/>
  <c r="L41" i="4"/>
  <c r="K41" i="4"/>
  <c r="K42" i="4" s="1"/>
  <c r="K59" i="4" s="1"/>
  <c r="M5" i="4"/>
  <c r="B6" i="6"/>
  <c r="C11" i="7"/>
  <c r="L42" i="4" l="1"/>
  <c r="L59" i="4" s="1"/>
  <c r="M49" i="4"/>
  <c r="M50" i="4"/>
  <c r="M40" i="4" s="1"/>
  <c r="M52" i="4"/>
  <c r="M51" i="4"/>
  <c r="M33" i="10"/>
  <c r="L17" i="3"/>
  <c r="M32" i="10"/>
  <c r="J13" i="3"/>
  <c r="J15" i="3" s="1"/>
  <c r="M41" i="4"/>
  <c r="C13" i="7"/>
  <c r="M42" i="4" l="1"/>
  <c r="M59" i="4" s="1"/>
  <c r="K13" i="3"/>
  <c r="K15" i="3" s="1"/>
  <c r="D22" i="3"/>
  <c r="C14" i="7"/>
  <c r="L13" i="3" l="1"/>
  <c r="L15" i="3" s="1"/>
  <c r="D23" i="3"/>
  <c r="C15" i="7"/>
  <c r="D11" i="7" l="1"/>
  <c r="C6" i="6"/>
  <c r="D13" i="7" l="1"/>
  <c r="E22" i="3" l="1"/>
  <c r="D14" i="7"/>
  <c r="E23" i="3" l="1"/>
  <c r="D15" i="7"/>
  <c r="E11" i="7" l="1"/>
  <c r="D6" i="6"/>
  <c r="E13" i="7" l="1"/>
  <c r="F22" i="3" l="1"/>
  <c r="E14" i="7"/>
  <c r="F23" i="3" l="1"/>
  <c r="E15" i="7"/>
  <c r="F11" i="7" l="1"/>
  <c r="E6" i="6"/>
  <c r="F13" i="7" l="1"/>
  <c r="G22" i="3" l="1"/>
  <c r="F14" i="7"/>
  <c r="G23" i="3" l="1"/>
  <c r="F15" i="7"/>
  <c r="F6" i="6" l="1"/>
  <c r="G11" i="7"/>
  <c r="G13" i="7" l="1"/>
  <c r="H22" i="3" l="1"/>
  <c r="G14" i="7"/>
  <c r="H23" i="3" l="1"/>
  <c r="G15" i="7"/>
  <c r="H11" i="7" l="1"/>
  <c r="G6" i="6"/>
  <c r="H13" i="7" l="1"/>
  <c r="I22" i="3" l="1"/>
  <c r="H14" i="7"/>
  <c r="I23" i="3" l="1"/>
  <c r="H15" i="7"/>
  <c r="I11" i="7" l="1"/>
  <c r="H6" i="6"/>
  <c r="I13" i="7" l="1"/>
  <c r="J22" i="3" l="1"/>
  <c r="I14" i="7"/>
  <c r="J23" i="3" l="1"/>
  <c r="I15" i="7"/>
  <c r="J11" i="7" l="1"/>
  <c r="I6" i="6"/>
  <c r="J13" i="7" l="1"/>
  <c r="K22" i="3" l="1"/>
  <c r="J14" i="7"/>
  <c r="K23" i="3" l="1"/>
  <c r="J15" i="7"/>
  <c r="J6" i="6" l="1"/>
  <c r="K11" i="7"/>
  <c r="K13" i="7" l="1"/>
  <c r="L22" i="3" l="1"/>
  <c r="K14" i="7"/>
  <c r="L13" i="7"/>
  <c r="L23" i="3" l="1"/>
  <c r="L14" i="7"/>
  <c r="K15" i="7"/>
  <c r="K6" i="6" l="1"/>
  <c r="B33" i="3"/>
  <c r="B28" i="2" l="1"/>
  <c r="C60" i="4" l="1"/>
  <c r="B16" i="3" s="1"/>
  <c r="B18" i="3" s="1"/>
  <c r="O51" i="4"/>
  <c r="C62" i="4" l="1"/>
  <c r="C61" i="4"/>
  <c r="B26" i="2" s="1"/>
  <c r="B15" i="2" s="1"/>
  <c r="B26" i="3"/>
  <c r="B19" i="3"/>
  <c r="D60" i="4"/>
  <c r="B16" i="2" l="1"/>
  <c r="C26" i="2"/>
  <c r="D26" i="2"/>
  <c r="B11" i="2"/>
  <c r="B12" i="2" s="1"/>
  <c r="E60" i="4"/>
  <c r="C16" i="3"/>
  <c r="C18" i="3" s="1"/>
  <c r="D62" i="4"/>
  <c r="D61" i="4"/>
  <c r="D11" i="2" l="1"/>
  <c r="D12" i="2" s="1"/>
  <c r="D15" i="2"/>
  <c r="D16" i="2"/>
  <c r="C11" i="2"/>
  <c r="C12" i="2" s="1"/>
  <c r="C15" i="2"/>
  <c r="C16" i="2"/>
  <c r="D16" i="3"/>
  <c r="D18" i="3" s="1"/>
  <c r="E62" i="4"/>
  <c r="E61" i="4"/>
  <c r="C19" i="3"/>
  <c r="C26" i="3"/>
  <c r="F60" i="4"/>
  <c r="C38" i="6" l="1"/>
  <c r="C36" i="6"/>
  <c r="C24" i="3"/>
  <c r="B3" i="6"/>
  <c r="B4" i="6" s="1"/>
  <c r="C35" i="6"/>
  <c r="C34" i="6"/>
  <c r="C33" i="6"/>
  <c r="C25" i="3"/>
  <c r="B47" i="3" s="1"/>
  <c r="C37" i="6"/>
  <c r="C39" i="6"/>
  <c r="C31" i="6"/>
  <c r="B48" i="3"/>
  <c r="C32" i="6"/>
  <c r="E16" i="3"/>
  <c r="E18" i="3" s="1"/>
  <c r="F62" i="4"/>
  <c r="F61" i="4"/>
  <c r="G60" i="4"/>
  <c r="D19" i="3"/>
  <c r="D26" i="3"/>
  <c r="B5" i="6" l="1"/>
  <c r="B7" i="6" s="1"/>
  <c r="C24" i="6"/>
  <c r="C23" i="6"/>
  <c r="B8" i="6"/>
  <c r="C25" i="6"/>
  <c r="C22" i="6"/>
  <c r="C19" i="6"/>
  <c r="C9" i="2"/>
  <c r="B45" i="3"/>
  <c r="D9" i="2"/>
  <c r="C26" i="6"/>
  <c r="C20" i="6"/>
  <c r="C21" i="6"/>
  <c r="C18" i="6"/>
  <c r="B9" i="2"/>
  <c r="H60" i="4"/>
  <c r="E19" i="3"/>
  <c r="E26" i="3"/>
  <c r="C3" i="6"/>
  <c r="C4" i="6" s="1"/>
  <c r="D24" i="3"/>
  <c r="D34" i="6"/>
  <c r="D25" i="3"/>
  <c r="D37" i="6"/>
  <c r="D36" i="6"/>
  <c r="D38" i="6"/>
  <c r="D32" i="6"/>
  <c r="D35" i="6"/>
  <c r="D33" i="6"/>
  <c r="D40" i="3"/>
  <c r="D39" i="6"/>
  <c r="F16" i="3"/>
  <c r="F18" i="3" s="1"/>
  <c r="G62" i="4"/>
  <c r="G61" i="4"/>
  <c r="B9" i="6" l="1"/>
  <c r="C17" i="6" s="1"/>
  <c r="P17" i="6" s="1"/>
  <c r="C30" i="6"/>
  <c r="B13" i="6" s="1"/>
  <c r="F26" i="3"/>
  <c r="F19" i="3"/>
  <c r="D21" i="6"/>
  <c r="D25" i="6"/>
  <c r="D24" i="6"/>
  <c r="D20" i="6"/>
  <c r="C8" i="6"/>
  <c r="D19" i="6"/>
  <c r="D23" i="6"/>
  <c r="D39" i="3"/>
  <c r="D22" i="6"/>
  <c r="D26" i="6"/>
  <c r="D3" i="6"/>
  <c r="D4" i="6" s="1"/>
  <c r="E40" i="3"/>
  <c r="E37" i="6"/>
  <c r="E39" i="6"/>
  <c r="E38" i="6"/>
  <c r="E33" i="6"/>
  <c r="E24" i="3"/>
  <c r="E34" i="6"/>
  <c r="E25" i="3"/>
  <c r="E36" i="6"/>
  <c r="E35" i="6"/>
  <c r="I60" i="4"/>
  <c r="C5" i="6"/>
  <c r="D31" i="6" s="1"/>
  <c r="C13" i="6" s="1"/>
  <c r="H61" i="4"/>
  <c r="H62" i="4"/>
  <c r="G16" i="3"/>
  <c r="G18" i="3" s="1"/>
  <c r="N17" i="6" l="1"/>
  <c r="B12" i="6"/>
  <c r="O17" i="6"/>
  <c r="B11" i="6"/>
  <c r="H16" i="3"/>
  <c r="H18" i="3" s="1"/>
  <c r="I61" i="4"/>
  <c r="I62" i="4"/>
  <c r="D5" i="6"/>
  <c r="D7" i="6" s="1"/>
  <c r="F34" i="6"/>
  <c r="F40" i="3"/>
  <c r="F36" i="6"/>
  <c r="F38" i="6"/>
  <c r="F35" i="6"/>
  <c r="F25" i="3"/>
  <c r="F24" i="3"/>
  <c r="F37" i="6"/>
  <c r="E3" i="6"/>
  <c r="E4" i="6" s="1"/>
  <c r="F39" i="6"/>
  <c r="G19" i="3"/>
  <c r="G26" i="3"/>
  <c r="C7" i="6"/>
  <c r="C9" i="6" s="1"/>
  <c r="D18" i="6" s="1"/>
  <c r="E20" i="6"/>
  <c r="E22" i="6"/>
  <c r="E21" i="6"/>
  <c r="E26" i="6"/>
  <c r="E24" i="6"/>
  <c r="E25" i="6"/>
  <c r="D8" i="6"/>
  <c r="E23" i="6"/>
  <c r="E39" i="3"/>
  <c r="J60" i="4"/>
  <c r="D9" i="6" l="1"/>
  <c r="E19" i="6" s="1"/>
  <c r="N19" i="6" s="1"/>
  <c r="E32" i="6"/>
  <c r="D13" i="6" s="1"/>
  <c r="E5" i="6"/>
  <c r="E7" i="6" s="1"/>
  <c r="K60" i="4"/>
  <c r="P18" i="6"/>
  <c r="O18" i="6"/>
  <c r="N18" i="6"/>
  <c r="C12" i="6"/>
  <c r="C11" i="6"/>
  <c r="G25" i="3"/>
  <c r="G37" i="6"/>
  <c r="G39" i="6"/>
  <c r="G35" i="6"/>
  <c r="F3" i="6"/>
  <c r="F4" i="6" s="1"/>
  <c r="G38" i="6"/>
  <c r="G24" i="3"/>
  <c r="G36" i="6"/>
  <c r="F23" i="6"/>
  <c r="F22" i="6"/>
  <c r="F25" i="6"/>
  <c r="F26" i="6"/>
  <c r="F24" i="6"/>
  <c r="F21" i="6"/>
  <c r="E8" i="6"/>
  <c r="F39" i="3"/>
  <c r="I16" i="3"/>
  <c r="I18" i="3" s="1"/>
  <c r="J61" i="4"/>
  <c r="J62" i="4"/>
  <c r="H26" i="3"/>
  <c r="H19" i="3"/>
  <c r="H40" i="3" s="1"/>
  <c r="D11" i="6" l="1"/>
  <c r="O19" i="6"/>
  <c r="D12" i="6"/>
  <c r="P19" i="6"/>
  <c r="F33" i="6"/>
  <c r="E13" i="6" s="1"/>
  <c r="E9" i="6"/>
  <c r="F20" i="6" s="1"/>
  <c r="E11" i="6" s="1"/>
  <c r="H39" i="6"/>
  <c r="H38" i="6"/>
  <c r="H24" i="3"/>
  <c r="H39" i="3" s="1"/>
  <c r="H36" i="6"/>
  <c r="G3" i="6"/>
  <c r="G4" i="6" s="1"/>
  <c r="H25" i="3"/>
  <c r="H37" i="6"/>
  <c r="F5" i="6"/>
  <c r="F7" i="6" s="1"/>
  <c r="K61" i="4"/>
  <c r="K62" i="4"/>
  <c r="J16" i="3"/>
  <c r="J18" i="3" s="1"/>
  <c r="I19" i="3"/>
  <c r="I40" i="3" s="1"/>
  <c r="I26" i="3"/>
  <c r="F8" i="6"/>
  <c r="G22" i="6"/>
  <c r="G23" i="6"/>
  <c r="G26" i="6"/>
  <c r="G24" i="6"/>
  <c r="G25" i="6"/>
  <c r="L60" i="4"/>
  <c r="M60" i="4"/>
  <c r="C40" i="3" l="1"/>
  <c r="N20" i="6"/>
  <c r="G34" i="6"/>
  <c r="F13" i="6" s="1"/>
  <c r="P20" i="6"/>
  <c r="E12" i="6"/>
  <c r="O20" i="6"/>
  <c r="F9" i="6"/>
  <c r="G21" i="6" s="1"/>
  <c r="O21" i="6" s="1"/>
  <c r="L16" i="3"/>
  <c r="L18" i="3" s="1"/>
  <c r="M61" i="4"/>
  <c r="M62" i="4"/>
  <c r="L62" i="4"/>
  <c r="K16" i="3"/>
  <c r="K18" i="3" s="1"/>
  <c r="L61" i="4"/>
  <c r="I25" i="3"/>
  <c r="H3" i="6"/>
  <c r="H4" i="6" s="1"/>
  <c r="I24" i="3"/>
  <c r="I39" i="3" s="1"/>
  <c r="I39" i="6"/>
  <c r="I38" i="6"/>
  <c r="I37" i="6"/>
  <c r="G8" i="6"/>
  <c r="H25" i="6"/>
  <c r="H26" i="6"/>
  <c r="H24" i="6"/>
  <c r="H23" i="6"/>
  <c r="J19" i="3"/>
  <c r="J40" i="3" s="1"/>
  <c r="J26" i="3"/>
  <c r="G5" i="6"/>
  <c r="H35" i="6" s="1"/>
  <c r="G13" i="6" s="1"/>
  <c r="G39" i="3" l="1"/>
  <c r="F12" i="6"/>
  <c r="P21" i="6"/>
  <c r="F11" i="6"/>
  <c r="N21" i="6"/>
  <c r="G7" i="6"/>
  <c r="G9" i="6" s="1"/>
  <c r="H22" i="6" s="1"/>
  <c r="G12" i="6" s="1"/>
  <c r="I26" i="6"/>
  <c r="I24" i="6"/>
  <c r="I25" i="6"/>
  <c r="H8" i="6"/>
  <c r="H5" i="6"/>
  <c r="I36" i="6" s="1"/>
  <c r="H13" i="6" s="1"/>
  <c r="K26" i="3"/>
  <c r="K19" i="3"/>
  <c r="K40" i="3" s="1"/>
  <c r="J24" i="3"/>
  <c r="J39" i="3" s="1"/>
  <c r="J38" i="6"/>
  <c r="J39" i="6"/>
  <c r="J25" i="3"/>
  <c r="I3" i="6"/>
  <c r="I4" i="6" s="1"/>
  <c r="L19" i="3"/>
  <c r="L26" i="3"/>
  <c r="B30" i="3" l="1"/>
  <c r="B31" i="3" s="1"/>
  <c r="O22" i="6"/>
  <c r="G11" i="6"/>
  <c r="H7" i="6"/>
  <c r="H9" i="6" s="1"/>
  <c r="I23" i="6" s="1"/>
  <c r="H11" i="6" s="1"/>
  <c r="N22" i="6"/>
  <c r="P22" i="6"/>
  <c r="J3" i="6"/>
  <c r="J4" i="6" s="1"/>
  <c r="K25" i="3"/>
  <c r="K39" i="6"/>
  <c r="K24" i="3"/>
  <c r="K39" i="3" s="1"/>
  <c r="L25" i="3"/>
  <c r="K3" i="6"/>
  <c r="K4" i="6" s="1"/>
  <c r="L24" i="3"/>
  <c r="C10" i="2"/>
  <c r="D10" i="2"/>
  <c r="I5" i="6"/>
  <c r="J37" i="6" s="1"/>
  <c r="I13" i="6" s="1"/>
  <c r="I8" i="6"/>
  <c r="J26" i="6"/>
  <c r="J25" i="6"/>
  <c r="B32" i="3" l="1"/>
  <c r="G40" i="3" s="1"/>
  <c r="B35" i="3"/>
  <c r="H12" i="6"/>
  <c r="P23" i="6"/>
  <c r="O23" i="6"/>
  <c r="N23" i="6"/>
  <c r="K5" i="6"/>
  <c r="K7" i="6" s="1"/>
  <c r="K26" i="6"/>
  <c r="J8" i="6"/>
  <c r="J5" i="6"/>
  <c r="K38" i="6" s="1"/>
  <c r="J13" i="6" s="1"/>
  <c r="L39" i="6"/>
  <c r="K13" i="6" s="1"/>
  <c r="I7" i="6"/>
  <c r="I9" i="6" s="1"/>
  <c r="J24" i="6" s="1"/>
  <c r="K8" i="6"/>
  <c r="B46" i="3"/>
  <c r="B10" i="2" s="1"/>
  <c r="B34" i="3" l="1"/>
  <c r="C39" i="3" s="1"/>
  <c r="L39" i="3"/>
  <c r="C13" i="2" s="1"/>
  <c r="L40" i="3"/>
  <c r="B43" i="3" s="1"/>
  <c r="B8" i="2" s="1"/>
  <c r="K9" i="6"/>
  <c r="L26" i="6" s="1"/>
  <c r="P26" i="6" s="1"/>
  <c r="N24" i="6"/>
  <c r="P24" i="6"/>
  <c r="I11" i="6"/>
  <c r="O24" i="6"/>
  <c r="I12" i="6"/>
  <c r="J7" i="6"/>
  <c r="J9" i="6" s="1"/>
  <c r="K25" i="6" s="1"/>
  <c r="B42" i="3" l="1"/>
  <c r="B44" i="3"/>
  <c r="B13" i="2" s="1"/>
  <c r="C8" i="2"/>
  <c r="D13" i="2"/>
  <c r="D8" i="2"/>
  <c r="K11" i="6"/>
  <c r="O26" i="6"/>
  <c r="N26" i="6"/>
  <c r="K12" i="6"/>
  <c r="N25" i="6"/>
  <c r="J12" i="6"/>
  <c r="O25" i="6"/>
  <c r="J11" i="6"/>
  <c r="P25" i="6"/>
</calcChain>
</file>

<file path=xl/sharedStrings.xml><?xml version="1.0" encoding="utf-8"?>
<sst xmlns="http://schemas.openxmlformats.org/spreadsheetml/2006/main" count="425" uniqueCount="271">
  <si>
    <t>MHP Model - Land (Major) vs POH (Minor)</t>
  </si>
  <si>
    <t>Structure</t>
  </si>
  <si>
    <t>Actual Units</t>
  </si>
  <si>
    <t>Lot Rent ($/mo)</t>
  </si>
  <si>
    <t>Home Rent ($/mo)</t>
  </si>
  <si>
    <t>Comments</t>
  </si>
  <si>
    <t>Lot Rent - Occupied</t>
  </si>
  <si>
    <t>Lot Rent - Vacant</t>
  </si>
  <si>
    <t>POH - Occupied</t>
  </si>
  <si>
    <t>POH - Vacant</t>
  </si>
  <si>
    <t>Office - Occupied</t>
  </si>
  <si>
    <t>Office - Vacant</t>
  </si>
  <si>
    <t>Studio - Occupied</t>
  </si>
  <si>
    <t>Studio - Vacant</t>
  </si>
  <si>
    <t>SFR - Occupied</t>
  </si>
  <si>
    <t>SFR - Vacant</t>
  </si>
  <si>
    <t>SFH - Occupied</t>
  </si>
  <si>
    <t>SFH - Vacant</t>
  </si>
  <si>
    <t>Total</t>
  </si>
  <si>
    <t>BOV Summary</t>
  </si>
  <si>
    <t>KEY PERFORMANCE INDICATORS</t>
  </si>
  <si>
    <t>Base case</t>
  </si>
  <si>
    <t>Worst case</t>
  </si>
  <si>
    <t>Best case</t>
  </si>
  <si>
    <t>Income</t>
  </si>
  <si>
    <t>Investment Performance</t>
  </si>
  <si>
    <t>Unlevered IRR</t>
  </si>
  <si>
    <t>Cash-on-Cash (Year 1)</t>
  </si>
  <si>
    <t>Cash-on-Cash (Avg.)</t>
  </si>
  <si>
    <t>DSCR (Year 1)</t>
  </si>
  <si>
    <t>DSCR Test (vs. requirement)</t>
  </si>
  <si>
    <t>Equity Multiple</t>
  </si>
  <si>
    <t>Valuation Ratios (move with price)</t>
  </si>
  <si>
    <t>Going-in Cap Rate (NOI Year 1 / Price)</t>
  </si>
  <si>
    <t>Debt Yield (NOI Year 1 / Loan)</t>
  </si>
  <si>
    <t>Price per Unit</t>
  </si>
  <si>
    <t>Debt</t>
  </si>
  <si>
    <t>LTV</t>
  </si>
  <si>
    <t>Interest Rate (SOFR + Spread)</t>
  </si>
  <si>
    <t>Interest Amount (Year 1)</t>
  </si>
  <si>
    <t>Debt Service (Year 1)</t>
  </si>
  <si>
    <t>Total Debt Service over Hold</t>
  </si>
  <si>
    <t>Equity Invested</t>
  </si>
  <si>
    <t>Loan Balance at Sale</t>
  </si>
  <si>
    <t>OTHER INPUTS</t>
  </si>
  <si>
    <t>DSCR Requirement</t>
  </si>
  <si>
    <t>SOFR</t>
  </si>
  <si>
    <t>Spread</t>
  </si>
  <si>
    <t>Amortization (Years)</t>
  </si>
  <si>
    <t>POH Cap Rate</t>
  </si>
  <si>
    <t>Hold Period (Years)</t>
  </si>
  <si>
    <t>Price Step for Worst / Best Cases</t>
  </si>
  <si>
    <t>Acquisition Model - Consolidated (Land + POH)</t>
  </si>
  <si>
    <t>Land (Major) + POH (Minor) -&gt; Total NOI. Price, debt terms and hold period come from the BOV sheet.</t>
  </si>
  <si>
    <t>Assumptions</t>
  </si>
  <si>
    <t>Deal Controls (from BOV sheet)</t>
  </si>
  <si>
    <t>Total Value = Purchase Price (from BOV)</t>
  </si>
  <si>
    <t>LTV (from BOV)</t>
  </si>
  <si>
    <t>Purchase Price Used</t>
  </si>
  <si>
    <t>Interest Rate = SOFR + Spread (from BOV)</t>
  </si>
  <si>
    <t>Loan Amount</t>
  </si>
  <si>
    <t>Amort Years (from BOV)</t>
  </si>
  <si>
    <t>Exit Cap</t>
  </si>
  <si>
    <t>Selling Costs %</t>
  </si>
  <si>
    <t>Line Item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</si>
  <si>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</si>
  <si>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</si>
  <si>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</si>
  <si>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</si>
  <si>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</si>
  <si>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</si>
  <si>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</si>
  <si>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</si>
  <si>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</si>
  <si>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</si>
  <si>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Land Total Revenue</t>
  </si>
  <si>
    <t>POH Total Revenue</t>
  </si>
  <si>
    <t>Total Revenue</t>
  </si>
  <si>
    <t>Land Total Expenses</t>
  </si>
  <si>
    <t>POH Total Expenses</t>
  </si>
  <si>
    <t>Total Expenses</t>
  </si>
  <si>
    <t>NOI (Land + POH)</t>
  </si>
  <si>
    <t>Debt Service &amp; Levered</t>
  </si>
  <si>
    <t>Debt Service (from Debt Sheet)</t>
  </si>
  <si>
    <t>Interest</t>
  </si>
  <si>
    <t>Principal</t>
  </si>
  <si>
    <t>Levered Cash Flow (NOI - Debt Service)</t>
  </si>
  <si>
    <t>DSCR (NOI / Debt Service)</t>
  </si>
  <si>
    <t>Exit &amp; Appreciation (sale at end of hold period)</t>
  </si>
  <si>
    <t>Exit-Year NOI (trailing)</t>
  </si>
  <si>
    <t>Exit Value (NOI / Exit Cap)</t>
  </si>
  <si>
    <t>Less: Selling Costs</t>
  </si>
  <si>
    <t>Less: Ending Loan Balance</t>
  </si>
  <si>
    <t>Net Sale Proceeds</t>
  </si>
  <si>
    <t>Appreciation (Exit Value - Purchase Price)</t>
  </si>
  <si>
    <t>Cash Flow to Equity &amp; Returns</t>
  </si>
  <si>
    <t>Year</t>
  </si>
  <si>
    <t>Levered Cash Flow (incl. sale in hold year)</t>
  </si>
  <si>
    <t>Unlevered Cash Flow (incl. sale in hold year)</t>
  </si>
  <si>
    <t>Levered IRR</t>
  </si>
  <si>
    <t>Cash-on-Cash (Avg. over hold)</t>
  </si>
  <si>
    <t>Going-in Cap Rate (Year 1 NOI / Price)</t>
  </si>
  <si>
    <t>Head / Category</t>
  </si>
  <si>
    <t>Base Year Vacant</t>
  </si>
  <si>
    <t>Total Units</t>
  </si>
  <si>
    <t>Lease-Up / Yr</t>
  </si>
  <si>
    <t>Total Occupied Units</t>
  </si>
  <si>
    <t>Revenue Head</t>
  </si>
  <si>
    <t>Less: Vacancy Loss</t>
  </si>
  <si>
    <t>Less: Bad Debt</t>
  </si>
  <si>
    <t>Expense Head</t>
  </si>
  <si>
    <t>Rate A</t>
  </si>
  <si>
    <t>Rate B / Count</t>
  </si>
  <si>
    <t>Est. Base Year</t>
  </si>
  <si>
    <t>Property Tax</t>
  </si>
  <si>
    <t>Insurance</t>
  </si>
  <si>
    <t>Property Management Fee</t>
  </si>
  <si>
    <t>NOI</t>
  </si>
  <si>
    <t>POH Insurance</t>
  </si>
  <si>
    <t>Other POH Expenses</t>
  </si>
  <si>
    <t>IRR - Returns by Exit Year</t>
  </si>
  <si>
    <t>Sale Year</t>
  </si>
  <si>
    <t>Exit NOI (trailing)</t>
  </si>
  <si>
    <t>Gross Exit Value</t>
  </si>
  <si>
    <t>Selling Costs</t>
  </si>
  <si>
    <t>Ending Loan Balance</t>
  </si>
  <si>
    <t>Levered Cash Flow in Sale Year</t>
  </si>
  <si>
    <t>Total Cash Flow in Sale Year</t>
  </si>
  <si>
    <t>Levered cash flow to equity by exit year</t>
  </si>
  <si>
    <t>Exit Year  /  Period</t>
  </si>
  <si>
    <t>Unlevered cash flow by exit year</t>
  </si>
  <si>
    <t>Loan Amount (from BOV)</t>
  </si>
  <si>
    <t>Annual Rate (from BOV)</t>
  </si>
  <si>
    <t>PMT (Annual Payment, after IO period)</t>
  </si>
  <si>
    <t>Interest-Only Years (from BOV)</t>
  </si>
  <si>
    <t>Variables / Year -&gt;</t>
  </si>
  <si>
    <t>Beginning Balance</t>
  </si>
  <si>
    <t>Payment (PMT)</t>
  </si>
  <si>
    <t>Ending Balance</t>
  </si>
  <si>
    <t>Property Tax Working</t>
  </si>
  <si>
    <t>State</t>
  </si>
  <si>
    <t>Parcel Number</t>
  </si>
  <si>
    <t>Tax Amount ($)</t>
  </si>
  <si>
    <t>%</t>
  </si>
  <si>
    <t>County</t>
  </si>
  <si>
    <t>Owner Name</t>
  </si>
  <si>
    <t>Expense Ratio</t>
  </si>
  <si>
    <t>RTO - Rent-to-Own Home Schedule</t>
  </si>
  <si>
    <t>Number of RTO Homes</t>
  </si>
  <si>
    <t>Home Rent / Month</t>
  </si>
  <si>
    <t>Lease Term (Years)</t>
  </si>
  <si>
    <t>Rent Growth %</t>
  </si>
  <si>
    <t>Base Year RTO Rent</t>
  </si>
  <si>
    <t>RTO Unit</t>
  </si>
  <si>
    <t>Annual Rent</t>
  </si>
  <si>
    <t>Lease Term</t>
  </si>
  <si>
    <t>Ownership Transfer Year</t>
  </si>
  <si>
    <t>Base Year Rent</t>
  </si>
  <si>
    <t>10-Year Total</t>
  </si>
  <si>
    <t>Total RTO Rent</t>
  </si>
  <si>
    <t>RTO</t>
  </si>
  <si>
    <t xml:space="preserve">Lot Rent </t>
  </si>
  <si>
    <t xml:space="preserve">Office Rent </t>
  </si>
  <si>
    <t xml:space="preserve">Studio Rent </t>
  </si>
  <si>
    <t xml:space="preserve">SFR Rent </t>
  </si>
  <si>
    <t xml:space="preserve">SFH Rent </t>
  </si>
  <si>
    <t xml:space="preserve">Occupancy </t>
  </si>
  <si>
    <t>Average Rent</t>
  </si>
  <si>
    <t>Rent Increase (%)</t>
  </si>
  <si>
    <t>Occupied Lots</t>
  </si>
  <si>
    <t>Occupied Office</t>
  </si>
  <si>
    <t>Occupied Studio</t>
  </si>
  <si>
    <t>Occupied SFR</t>
  </si>
  <si>
    <t>Occupied SFH</t>
  </si>
  <si>
    <t xml:space="preserve">Utility Recapture </t>
  </si>
  <si>
    <t xml:space="preserve">Advertising </t>
  </si>
  <si>
    <t xml:space="preserve">Utilities </t>
  </si>
  <si>
    <t xml:space="preserve">Water </t>
  </si>
  <si>
    <t>Trash</t>
  </si>
  <si>
    <t>Gas</t>
  </si>
  <si>
    <t>Repairs &amp; Maintenance</t>
  </si>
  <si>
    <t>Administrative / G&amp;A</t>
  </si>
  <si>
    <t>Legal &amp; Professional</t>
  </si>
  <si>
    <t>Licenses &amp; Permits</t>
  </si>
  <si>
    <t>Other Operating Expenses</t>
  </si>
  <si>
    <t xml:space="preserve">Recapture Rate </t>
  </si>
  <si>
    <t xml:space="preserve">Occupied POH </t>
  </si>
  <si>
    <t>Occupied RV</t>
  </si>
  <si>
    <t>RV - Occupied</t>
  </si>
  <si>
    <t>RV - Vacant</t>
  </si>
  <si>
    <t xml:space="preserve">POH Rent </t>
  </si>
  <si>
    <t xml:space="preserve">RV Rent </t>
  </si>
  <si>
    <t>Average POH Rent</t>
  </si>
  <si>
    <t>Average RV Rent</t>
  </si>
  <si>
    <t>A04</t>
  </si>
  <si>
    <t>A05</t>
  </si>
  <si>
    <t>A06</t>
  </si>
  <si>
    <t>A07</t>
  </si>
  <si>
    <t>A10</t>
  </si>
  <si>
    <t>A11</t>
  </si>
  <si>
    <t>A16</t>
  </si>
  <si>
    <t>B02</t>
  </si>
  <si>
    <t>B08</t>
  </si>
  <si>
    <t>C02</t>
  </si>
  <si>
    <t>C03</t>
  </si>
  <si>
    <t>C05</t>
  </si>
  <si>
    <t>C07</t>
  </si>
  <si>
    <t>D01</t>
  </si>
  <si>
    <t>D02</t>
  </si>
  <si>
    <t>D05</t>
  </si>
  <si>
    <t>F03</t>
  </si>
  <si>
    <t>F08</t>
  </si>
  <si>
    <t>F09</t>
  </si>
  <si>
    <t>F10</t>
  </si>
  <si>
    <t xml:space="preserve">POH Expense </t>
  </si>
  <si>
    <t xml:space="preserve">Park Value </t>
  </si>
  <si>
    <t>Acres</t>
  </si>
  <si>
    <t>Address</t>
  </si>
  <si>
    <t>Limestone County</t>
  </si>
  <si>
    <t xml:space="preserve">City </t>
  </si>
  <si>
    <t>Athens</t>
  </si>
  <si>
    <t>Alabama (AL)</t>
  </si>
  <si>
    <t xml:space="preserve">Assessed Amount </t>
  </si>
  <si>
    <t xml:space="preserve">Total </t>
  </si>
  <si>
    <t>Unpaid</t>
  </si>
  <si>
    <t>https://limestonerevenue.net/parcelviewer/?page=Citizen-Access-Portal&amp;views=Parcel-Detail#data_s=id%3AdataSource_34-1948ede4efe-layer-10%3A18361</t>
  </si>
  <si>
    <t>https://limestonerevenue.net/propsearch</t>
  </si>
  <si>
    <t>.</t>
  </si>
  <si>
    <t>PARTICULARS</t>
  </si>
  <si>
    <t>Status</t>
  </si>
  <si>
    <t xml:space="preserve">Total Value </t>
  </si>
  <si>
    <t xml:space="preserve">NOI </t>
  </si>
  <si>
    <t xml:space="preserve">Debt Service after IO Period </t>
  </si>
  <si>
    <t xml:space="preserve">Interest Rate </t>
  </si>
  <si>
    <t xml:space="preserve">Loan Amount </t>
  </si>
  <si>
    <t>IRR</t>
  </si>
  <si>
    <t>EM</t>
  </si>
  <si>
    <t>Profit</t>
  </si>
  <si>
    <t xml:space="preserve">Year 1 </t>
  </si>
  <si>
    <t xml:space="preserve">Year 2 </t>
  </si>
  <si>
    <t xml:space="preserve">Debt Amortization </t>
  </si>
  <si>
    <t xml:space="preserve">Rent To Own </t>
  </si>
  <si>
    <t>10 RTO homes; $500/month home rent; 10-year lease term.</t>
  </si>
  <si>
    <t xml:space="preserve">Less: Concessions  </t>
  </si>
  <si>
    <t xml:space="preserve">Less: Non-Cash Rent </t>
  </si>
  <si>
    <t>Actual</t>
  </si>
  <si>
    <t xml:space="preserve">Proforma </t>
  </si>
  <si>
    <t xml:space="preserve">Actual </t>
  </si>
  <si>
    <t>Expensed as per tax bill</t>
  </si>
  <si>
    <t xml:space="preserve">Growth </t>
  </si>
  <si>
    <t xml:space="preserve">Less: Concessions </t>
  </si>
  <si>
    <t>RTO Rent</t>
  </si>
  <si>
    <t xml:space="preserve">Home Rent </t>
  </si>
  <si>
    <t xml:space="preserve">Land - Lots Only </t>
  </si>
  <si>
    <t xml:space="preserve">Park Owned Homes </t>
  </si>
  <si>
    <t xml:space="preserve">Pro Forma </t>
  </si>
  <si>
    <t xml:space="preserve">Description </t>
  </si>
  <si>
    <t>POH R&amp;M</t>
  </si>
  <si>
    <t xml:space="preserve">Assessor Name </t>
  </si>
  <si>
    <t xml:space="preserve">Assessor Number </t>
  </si>
  <si>
    <t xml:space="preserve">Property Parcel Link </t>
  </si>
  <si>
    <t xml:space="preserve">Property Map Link </t>
  </si>
  <si>
    <t>G.Brian Patterson</t>
  </si>
  <si>
    <t xml:space="preserve">Maximum price </t>
  </si>
  <si>
    <t>(256) 233 6433</t>
  </si>
  <si>
    <t>Septic Sewer</t>
  </si>
  <si>
    <t xml:space="preserve">Interest-Only Period </t>
  </si>
  <si>
    <t xml:space="preserve">Hold Period </t>
  </si>
  <si>
    <t>Electricity</t>
  </si>
  <si>
    <t>1845 US - 99 Athens, AL 35589</t>
  </si>
  <si>
    <t>11 00 00 0 000 009.000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</si>
</sst>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164" formatCode="\$#,##0;&quot;($&quot;#,##0\);\-"/>
    <numFmt numFmtId="165" formatCode="0.0%"/>
    <numFmt numFmtId="166" formatCode="0.00\x"/>
    <numFmt numFmtId="167" formatCode="&quot;Year &quot;0"/>
    <numFmt numFmtId="168" formatCode="&quot;Sell in Year &quot;0"/>
    <numFmt numFmtId="169" formatCode="\$#,##0.00"/>
    <numFmt numFmtId="170" formatCode="&quot;POH Value&quot;"/>
    <numFmt numFmtId="171" formatCode="&quot;$&quot;#,##0"/>
    <numFmt numFmtId="172" formatCode="0.0%;\(0.0%\);\-"/>
    <numFmt numFmtId="173" formatCode="0.000"/>
  </numFmts>
  <fonts count="35" x14ac:knownFonts="1">
    <font>
      <sz val="11"/>
      <color theme="1"/>
      <name val="Calibri"/>
      <family val="2"/>
      <charset val="1"/>
    </font>
    <font>
      <b/>
      <sz val="15"/>
      <color rgb="FF1F3864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1"/>
    </font>
    <font>
      <i/>
      <sz val="8"/>
      <color rgb="FF000000"/>
      <name val="Arial"/>
      <family val="2"/>
    </font>
    <font>
      <i/>
      <sz val="8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6"/>
      <color rgb="FF1F3864"/>
      <name val="Arial"/>
      <family val="2"/>
    </font>
    <font>
      <sz val="16"/>
      <color theme="1"/>
      <name val="Calibri"/>
      <family val="2"/>
      <charset val="1"/>
    </font>
    <font>
      <i/>
      <sz val="9"/>
      <color theme="0" tint="-0.499984740745262"/>
      <name val="Arial"/>
      <family val="2"/>
    </font>
    <font>
      <i/>
      <sz val="10"/>
      <color theme="0" tint="-0.499984740745262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D9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D9E1F2"/>
        <bgColor rgb="FFD9D9D9"/>
      </patternFill>
    </fill>
    <fill>
      <patternFill patternType="solid">
        <fgColor rgb="FF002060"/>
        <bgColor rgb="FF333333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64" fontId="5" fillId="3" borderId="0" xfId="0" applyNumberFormat="1" applyFont="1" applyFill="1"/>
    <xf numFmtId="0" fontId="6" fillId="4" borderId="0" xfId="0" applyFont="1" applyFill="1"/>
    <xf numFmtId="1" fontId="6" fillId="4" borderId="0" xfId="0" applyNumberFormat="1" applyFont="1" applyFill="1"/>
    <xf numFmtId="164" fontId="6" fillId="4" borderId="0" xfId="0" applyNumberFormat="1" applyFont="1" applyFill="1"/>
    <xf numFmtId="0" fontId="7" fillId="5" borderId="0" xfId="0" applyFont="1" applyFill="1" applyAlignment="1">
      <alignment horizontal="center" vertical="center" wrapText="1"/>
    </xf>
    <xf numFmtId="0" fontId="6" fillId="0" borderId="0" xfId="0" applyFont="1"/>
    <xf numFmtId="1" fontId="2" fillId="0" borderId="0" xfId="0" applyNumberFormat="1" applyFont="1"/>
    <xf numFmtId="164" fontId="2" fillId="0" borderId="0" xfId="0" applyNumberFormat="1" applyFont="1"/>
    <xf numFmtId="0" fontId="6" fillId="6" borderId="0" xfId="0" applyFont="1" applyFill="1"/>
    <xf numFmtId="164" fontId="6" fillId="6" borderId="0" xfId="0" applyNumberFormat="1" applyFont="1" applyFill="1"/>
    <xf numFmtId="1" fontId="7" fillId="5" borderId="0" xfId="0" applyNumberFormat="1" applyFont="1" applyFill="1" applyAlignment="1">
      <alignment horizontal="center" vertical="center" wrapText="1"/>
    </xf>
    <xf numFmtId="165" fontId="6" fillId="6" borderId="0" xfId="0" applyNumberFormat="1" applyFont="1" applyFill="1"/>
    <xf numFmtId="166" fontId="6" fillId="6" borderId="0" xfId="0" applyNumberFormat="1" applyFont="1" applyFill="1"/>
    <xf numFmtId="0" fontId="7" fillId="5" borderId="0" xfId="0" applyFont="1" applyFill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 wrapText="1"/>
    </xf>
    <xf numFmtId="0" fontId="10" fillId="0" borderId="0" xfId="0" applyFont="1"/>
    <xf numFmtId="165" fontId="11" fillId="0" borderId="0" xfId="1" applyNumberFormat="1" applyFont="1"/>
    <xf numFmtId="164" fontId="2" fillId="7" borderId="0" xfId="0" applyNumberFormat="1" applyFont="1" applyFill="1"/>
    <xf numFmtId="1" fontId="12" fillId="0" borderId="0" xfId="0" applyNumberFormat="1" applyFont="1"/>
    <xf numFmtId="0" fontId="7" fillId="5" borderId="0" xfId="0" applyFont="1" applyFill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164" fontId="13" fillId="0" borderId="0" xfId="0" applyNumberFormat="1" applyFont="1"/>
    <xf numFmtId="0" fontId="17" fillId="0" borderId="1" xfId="0" applyFont="1" applyBorder="1" applyAlignment="1">
      <alignment horizontal="left" vertical="center"/>
    </xf>
    <xf numFmtId="0" fontId="20" fillId="0" borderId="1" xfId="0" applyFont="1" applyBorder="1"/>
    <xf numFmtId="6" fontId="20" fillId="0" borderId="1" xfId="0" applyNumberFormat="1" applyFont="1" applyBorder="1"/>
    <xf numFmtId="6" fontId="20" fillId="0" borderId="3" xfId="0" applyNumberFormat="1" applyFont="1" applyBorder="1"/>
    <xf numFmtId="0" fontId="15" fillId="0" borderId="0" xfId="0" applyFont="1"/>
    <xf numFmtId="0" fontId="14" fillId="0" borderId="4" xfId="0" applyFont="1" applyBorder="1"/>
    <xf numFmtId="6" fontId="14" fillId="0" borderId="4" xfId="0" applyNumberFormat="1" applyFont="1" applyBorder="1"/>
    <xf numFmtId="0" fontId="21" fillId="0" borderId="0" xfId="0" applyFont="1"/>
    <xf numFmtId="0" fontId="22" fillId="0" borderId="0" xfId="0" applyFont="1"/>
    <xf numFmtId="0" fontId="7" fillId="5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7" fillId="5" borderId="1" xfId="0" applyFont="1" applyFill="1" applyBorder="1" applyAlignment="1">
      <alignment horizontal="right" vertical="center"/>
    </xf>
    <xf numFmtId="0" fontId="13" fillId="0" borderId="0" xfId="0" applyFont="1"/>
    <xf numFmtId="0" fontId="23" fillId="0" borderId="0" xfId="0" applyFont="1"/>
    <xf numFmtId="9" fontId="24" fillId="0" borderId="0" xfId="1" applyFont="1"/>
    <xf numFmtId="0" fontId="25" fillId="10" borderId="5" xfId="0" applyFont="1" applyFill="1" applyBorder="1" applyAlignment="1">
      <alignment horizontal="center" vertical="center"/>
    </xf>
    <xf numFmtId="166" fontId="26" fillId="0" borderId="6" xfId="0" applyNumberFormat="1" applyFont="1" applyBorder="1" applyAlignment="1">
      <alignment horizontal="center"/>
    </xf>
    <xf numFmtId="172" fontId="26" fillId="0" borderId="6" xfId="0" applyNumberFormat="1" applyFont="1" applyBorder="1" applyAlignment="1">
      <alignment horizontal="center"/>
    </xf>
    <xf numFmtId="164" fontId="26" fillId="0" borderId="6" xfId="0" applyNumberFormat="1" applyFont="1" applyBorder="1" applyAlignment="1">
      <alignment horizontal="center"/>
    </xf>
    <xf numFmtId="168" fontId="8" fillId="0" borderId="7" xfId="0" applyNumberFormat="1" applyFont="1" applyBorder="1"/>
    <xf numFmtId="164" fontId="2" fillId="0" borderId="7" xfId="0" applyNumberFormat="1" applyFont="1" applyBorder="1"/>
    <xf numFmtId="0" fontId="2" fillId="0" borderId="0" xfId="2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6" fillId="4" borderId="0" xfId="0" applyFont="1" applyFill="1" applyAlignment="1">
      <alignment horizontal="left" indent="1"/>
    </xf>
    <xf numFmtId="0" fontId="0" fillId="0" borderId="0" xfId="0" applyAlignment="1">
      <alignment horizontal="left" indent="1"/>
    </xf>
    <xf numFmtId="0" fontId="6" fillId="6" borderId="0" xfId="0" applyFont="1" applyFill="1" applyAlignment="1">
      <alignment horizontal="left" indent="1"/>
    </xf>
    <xf numFmtId="0" fontId="10" fillId="0" borderId="0" xfId="0" applyFont="1" applyAlignment="1">
      <alignment horizontal="left" indent="1"/>
    </xf>
    <xf numFmtId="0" fontId="4" fillId="2" borderId="0" xfId="0" applyFont="1" applyFill="1" applyAlignment="1">
      <alignment horizontal="center"/>
    </xf>
    <xf numFmtId="164" fontId="5" fillId="0" borderId="0" xfId="0" applyNumberFormat="1" applyFont="1"/>
    <xf numFmtId="9" fontId="0" fillId="0" borderId="0" xfId="0" applyNumberFormat="1"/>
    <xf numFmtId="0" fontId="7" fillId="5" borderId="0" xfId="0" applyFont="1" applyFill="1" applyAlignment="1">
      <alignment horizontal="center" vertical="center"/>
    </xf>
    <xf numFmtId="9" fontId="7" fillId="0" borderId="0" xfId="1" applyFont="1" applyFill="1" applyAlignment="1">
      <alignment horizontal="center" vertical="center"/>
    </xf>
    <xf numFmtId="165" fontId="5" fillId="0" borderId="0" xfId="0" applyNumberFormat="1" applyFont="1"/>
    <xf numFmtId="165" fontId="13" fillId="3" borderId="0" xfId="0" applyNumberFormat="1" applyFont="1" applyFill="1"/>
    <xf numFmtId="0" fontId="6" fillId="0" borderId="0" xfId="0" applyFont="1" applyAlignment="1">
      <alignment horizontal="left" indent="1"/>
    </xf>
    <xf numFmtId="0" fontId="7" fillId="5" borderId="0" xfId="0" applyFont="1" applyFill="1" applyAlignment="1">
      <alignment horizontal="left" vertical="center" wrapText="1" indent="1"/>
    </xf>
    <xf numFmtId="164" fontId="0" fillId="0" borderId="0" xfId="0" applyNumberFormat="1"/>
    <xf numFmtId="164" fontId="17" fillId="4" borderId="0" xfId="0" applyNumberFormat="1" applyFont="1" applyFill="1"/>
    <xf numFmtId="164" fontId="17" fillId="6" borderId="0" xfId="0" applyNumberFormat="1" applyFont="1" applyFill="1"/>
    <xf numFmtId="0" fontId="17" fillId="2" borderId="0" xfId="0" applyFont="1" applyFill="1"/>
    <xf numFmtId="0" fontId="29" fillId="0" borderId="0" xfId="0" applyFont="1"/>
    <xf numFmtId="0" fontId="17" fillId="4" borderId="0" xfId="0" applyFont="1" applyFill="1"/>
    <xf numFmtId="166" fontId="13" fillId="0" borderId="0" xfId="0" applyNumberFormat="1" applyFont="1"/>
    <xf numFmtId="1" fontId="13" fillId="7" borderId="0" xfId="0" applyNumberFormat="1" applyFont="1" applyFill="1"/>
    <xf numFmtId="164" fontId="13" fillId="7" borderId="0" xfId="0" applyNumberFormat="1" applyFont="1" applyFill="1"/>
    <xf numFmtId="164" fontId="17" fillId="8" borderId="0" xfId="0" applyNumberFormat="1" applyFont="1" applyFill="1"/>
    <xf numFmtId="0" fontId="31" fillId="0" borderId="0" xfId="2" applyFont="1" applyAlignment="1">
      <alignment horizontal="left" indent="1"/>
    </xf>
    <xf numFmtId="0" fontId="9" fillId="0" borderId="0" xfId="0" applyFont="1"/>
    <xf numFmtId="1" fontId="31" fillId="0" borderId="0" xfId="0" applyNumberFormat="1" applyFont="1"/>
    <xf numFmtId="1" fontId="30" fillId="3" borderId="0" xfId="0" applyNumberFormat="1" applyFont="1" applyFill="1"/>
    <xf numFmtId="9" fontId="31" fillId="0" borderId="0" xfId="1" applyFont="1"/>
    <xf numFmtId="1" fontId="30" fillId="0" borderId="0" xfId="0" applyNumberFormat="1" applyFont="1"/>
    <xf numFmtId="0" fontId="30" fillId="0" borderId="0" xfId="2" applyFont="1"/>
    <xf numFmtId="0" fontId="1" fillId="0" borderId="0" xfId="0" applyFont="1" applyAlignment="1">
      <alignment horizontal="left" indent="1"/>
    </xf>
    <xf numFmtId="0" fontId="21" fillId="0" borderId="0" xfId="0" applyFont="1" applyAlignment="1">
      <alignment horizontal="left" indent="1"/>
    </xf>
    <xf numFmtId="0" fontId="30" fillId="0" borderId="0" xfId="2" applyFont="1" applyAlignment="1">
      <alignment horizontal="left" indent="1"/>
    </xf>
    <xf numFmtId="0" fontId="30" fillId="0" borderId="0" xfId="0" applyFont="1" applyAlignment="1">
      <alignment horizontal="left" indent="1"/>
    </xf>
    <xf numFmtId="0" fontId="30" fillId="0" borderId="0" xfId="0" applyFont="1"/>
    <xf numFmtId="0" fontId="30" fillId="4" borderId="0" xfId="0" applyFont="1" applyFill="1" applyAlignment="1">
      <alignment horizontal="left" indent="1"/>
    </xf>
    <xf numFmtId="0" fontId="30" fillId="4" borderId="0" xfId="0" applyFont="1" applyFill="1"/>
    <xf numFmtId="1" fontId="30" fillId="4" borderId="0" xfId="0" applyNumberFormat="1" applyFont="1" applyFill="1"/>
    <xf numFmtId="165" fontId="31" fillId="3" borderId="0" xfId="0" applyNumberFormat="1" applyFont="1" applyFill="1"/>
    <xf numFmtId="165" fontId="13" fillId="0" borderId="0" xfId="0" applyNumberFormat="1" applyFont="1"/>
    <xf numFmtId="165" fontId="31" fillId="0" borderId="0" xfId="0" applyNumberFormat="1" applyFont="1"/>
    <xf numFmtId="0" fontId="32" fillId="5" borderId="0" xfId="0" applyFont="1" applyFill="1" applyAlignment="1">
      <alignment horizontal="center" vertical="center" wrapText="1"/>
    </xf>
    <xf numFmtId="164" fontId="6" fillId="0" borderId="0" xfId="0" applyNumberFormat="1" applyFont="1"/>
    <xf numFmtId="0" fontId="2" fillId="0" borderId="8" xfId="0" applyFont="1" applyBorder="1"/>
    <xf numFmtId="164" fontId="2" fillId="0" borderId="9" xfId="0" applyNumberFormat="1" applyFont="1" applyBorder="1"/>
    <xf numFmtId="0" fontId="0" fillId="0" borderId="9" xfId="0" applyBorder="1"/>
    <xf numFmtId="164" fontId="6" fillId="4" borderId="9" xfId="0" applyNumberFormat="1" applyFont="1" applyFill="1" applyBorder="1"/>
    <xf numFmtId="10" fontId="13" fillId="0" borderId="7" xfId="0" applyNumberFormat="1" applyFont="1" applyBorder="1"/>
    <xf numFmtId="164" fontId="13" fillId="0" borderId="7" xfId="0" applyNumberFormat="1" applyFont="1" applyBorder="1"/>
    <xf numFmtId="1" fontId="13" fillId="0" borderId="0" xfId="0" applyNumberFormat="1" applyFont="1"/>
    <xf numFmtId="0" fontId="18" fillId="3" borderId="1" xfId="0" applyFont="1" applyFill="1" applyBorder="1"/>
    <xf numFmtId="10" fontId="18" fillId="3" borderId="1" xfId="1" applyNumberFormat="1" applyFont="1" applyFill="1" applyBorder="1"/>
    <xf numFmtId="0" fontId="28" fillId="3" borderId="1" xfId="3" applyFill="1" applyBorder="1"/>
    <xf numFmtId="0" fontId="19" fillId="3" borderId="1" xfId="0" applyFont="1" applyFill="1" applyBorder="1"/>
    <xf numFmtId="169" fontId="0" fillId="0" borderId="11" xfId="0" applyNumberFormat="1" applyBorder="1"/>
    <xf numFmtId="0" fontId="17" fillId="3" borderId="9" xfId="0" applyFont="1" applyFill="1" applyBorder="1"/>
    <xf numFmtId="9" fontId="17" fillId="3" borderId="9" xfId="1" applyFont="1" applyFill="1" applyBorder="1"/>
    <xf numFmtId="3" fontId="17" fillId="3" borderId="9" xfId="0" applyNumberFormat="1" applyFont="1" applyFill="1" applyBorder="1"/>
    <xf numFmtId="10" fontId="17" fillId="3" borderId="9" xfId="1" applyNumberFormat="1" applyFont="1" applyFill="1" applyBorder="1"/>
    <xf numFmtId="0" fontId="2" fillId="0" borderId="7" xfId="0" applyFont="1" applyBorder="1"/>
    <xf numFmtId="0" fontId="6" fillId="4" borderId="7" xfId="0" applyFont="1" applyFill="1" applyBorder="1"/>
    <xf numFmtId="164" fontId="17" fillId="4" borderId="7" xfId="0" applyNumberFormat="1" applyFont="1" applyFill="1" applyBorder="1"/>
    <xf numFmtId="0" fontId="6" fillId="6" borderId="7" xfId="0" applyFont="1" applyFill="1" applyBorder="1"/>
    <xf numFmtId="165" fontId="17" fillId="6" borderId="7" xfId="0" applyNumberFormat="1" applyFont="1" applyFill="1" applyBorder="1"/>
    <xf numFmtId="166" fontId="13" fillId="0" borderId="7" xfId="0" applyNumberFormat="1" applyFont="1" applyBorder="1"/>
    <xf numFmtId="164" fontId="13" fillId="3" borderId="11" xfId="0" applyNumberFormat="1" applyFont="1" applyFill="1" applyBorder="1"/>
    <xf numFmtId="165" fontId="13" fillId="3" borderId="11" xfId="0" applyNumberFormat="1" applyFont="1" applyFill="1" applyBorder="1"/>
    <xf numFmtId="10" fontId="13" fillId="3" borderId="11" xfId="0" applyNumberFormat="1" applyFont="1" applyFill="1" applyBorder="1"/>
    <xf numFmtId="1" fontId="13" fillId="3" borderId="11" xfId="0" applyNumberFormat="1" applyFont="1" applyFill="1" applyBorder="1"/>
    <xf numFmtId="165" fontId="17" fillId="3" borderId="11" xfId="0" applyNumberFormat="1" applyFont="1" applyFill="1" applyBorder="1"/>
    <xf numFmtId="0" fontId="4" fillId="0" borderId="0" xfId="0" applyFont="1"/>
    <xf numFmtId="165" fontId="2" fillId="0" borderId="7" xfId="0" applyNumberFormat="1" applyFont="1" applyBorder="1"/>
    <xf numFmtId="165" fontId="13" fillId="0" borderId="7" xfId="0" applyNumberFormat="1" applyFont="1" applyBorder="1"/>
    <xf numFmtId="166" fontId="6" fillId="6" borderId="7" xfId="0" applyNumberFormat="1" applyFont="1" applyFill="1" applyBorder="1"/>
    <xf numFmtId="0" fontId="2" fillId="0" borderId="7" xfId="0" applyFont="1" applyBorder="1" applyAlignment="1">
      <alignment horizontal="right"/>
    </xf>
    <xf numFmtId="166" fontId="2" fillId="0" borderId="7" xfId="0" applyNumberFormat="1" applyFont="1" applyBorder="1"/>
    <xf numFmtId="165" fontId="13" fillId="3" borderId="7" xfId="0" applyNumberFormat="1" applyFont="1" applyFill="1" applyBorder="1"/>
    <xf numFmtId="10" fontId="2" fillId="0" borderId="7" xfId="0" applyNumberFormat="1" applyFont="1" applyBorder="1"/>
    <xf numFmtId="166" fontId="17" fillId="3" borderId="7" xfId="0" applyNumberFormat="1" applyFont="1" applyFill="1" applyBorder="1"/>
    <xf numFmtId="10" fontId="17" fillId="3" borderId="7" xfId="0" applyNumberFormat="1" applyFont="1" applyFill="1" applyBorder="1"/>
    <xf numFmtId="1" fontId="17" fillId="3" borderId="7" xfId="0" applyNumberFormat="1" applyFont="1" applyFill="1" applyBorder="1"/>
    <xf numFmtId="165" fontId="17" fillId="3" borderId="7" xfId="0" applyNumberFormat="1" applyFont="1" applyFill="1" applyBorder="1"/>
    <xf numFmtId="164" fontId="17" fillId="3" borderId="7" xfId="0" applyNumberFormat="1" applyFont="1" applyFill="1" applyBorder="1"/>
    <xf numFmtId="0" fontId="0" fillId="0" borderId="0" xfId="0" applyAlignment="1">
      <alignment horizontal="left"/>
    </xf>
    <xf numFmtId="0" fontId="7" fillId="5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indent="1"/>
    </xf>
    <xf numFmtId="170" fontId="2" fillId="0" borderId="0" xfId="0" applyNumberFormat="1" applyFont="1" applyAlignment="1">
      <alignment horizontal="left" indent="1"/>
    </xf>
    <xf numFmtId="0" fontId="13" fillId="0" borderId="0" xfId="0" applyFont="1" applyAlignment="1">
      <alignment horizontal="left" indent="1"/>
    </xf>
    <xf numFmtId="0" fontId="7" fillId="0" borderId="0" xfId="0" applyFont="1" applyAlignment="1">
      <alignment horizontal="left" vertical="center"/>
    </xf>
    <xf numFmtId="0" fontId="0" fillId="0" borderId="7" xfId="0" applyBorder="1"/>
    <xf numFmtId="1" fontId="5" fillId="3" borderId="7" xfId="0" applyNumberFormat="1" applyFont="1" applyFill="1" applyBorder="1" applyAlignment="1">
      <alignment horizontal="center"/>
    </xf>
    <xf numFmtId="164" fontId="5" fillId="3" borderId="7" xfId="0" applyNumberFormat="1" applyFont="1" applyFill="1" applyBorder="1"/>
    <xf numFmtId="1" fontId="6" fillId="4" borderId="7" xfId="0" applyNumberFormat="1" applyFont="1" applyFill="1" applyBorder="1" applyAlignment="1">
      <alignment horizontal="center"/>
    </xf>
    <xf numFmtId="164" fontId="6" fillId="4" borderId="7" xfId="0" applyNumberFormat="1" applyFont="1" applyFill="1" applyBorder="1"/>
    <xf numFmtId="171" fontId="2" fillId="0" borderId="7" xfId="0" applyNumberFormat="1" applyFont="1" applyBorder="1"/>
    <xf numFmtId="164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6" fillId="4" borderId="0" xfId="0" applyNumberFormat="1" applyFont="1" applyFill="1" applyAlignment="1">
      <alignment horizontal="right"/>
    </xf>
    <xf numFmtId="0" fontId="7" fillId="11" borderId="1" xfId="0" applyFont="1" applyFill="1" applyBorder="1" applyAlignment="1">
      <alignment horizontal="left" vertical="center"/>
    </xf>
    <xf numFmtId="0" fontId="0" fillId="9" borderId="0" xfId="0" applyFill="1"/>
    <xf numFmtId="0" fontId="33" fillId="0" borderId="0" xfId="0" applyFont="1"/>
    <xf numFmtId="9" fontId="13" fillId="3" borderId="0" xfId="0" applyNumberFormat="1" applyFont="1" applyFill="1"/>
    <xf numFmtId="164" fontId="13" fillId="3" borderId="0" xfId="0" applyNumberFormat="1" applyFont="1" applyFill="1"/>
    <xf numFmtId="164" fontId="17" fillId="0" borderId="0" xfId="0" applyNumberFormat="1" applyFont="1"/>
    <xf numFmtId="0" fontId="16" fillId="0" borderId="0" xfId="0" applyFont="1"/>
    <xf numFmtId="9" fontId="0" fillId="0" borderId="0" xfId="1" applyFont="1"/>
    <xf numFmtId="173" fontId="0" fillId="0" borderId="0" xfId="0" applyNumberFormat="1"/>
    <xf numFmtId="164" fontId="6" fillId="0" borderId="9" xfId="0" applyNumberFormat="1" applyFont="1" applyBorder="1"/>
    <xf numFmtId="0" fontId="34" fillId="0" borderId="11" xfId="0" applyFont="1" applyBorder="1"/>
    <xf numFmtId="0" fontId="31" fillId="0" borderId="10" xfId="0" applyFont="1" applyBorder="1" applyAlignment="1">
      <alignment horizontal="center"/>
    </xf>
    <xf numFmtId="0" fontId="31" fillId="0" borderId="10" xfId="0" applyFont="1" applyBorder="1"/>
    <xf numFmtId="1" fontId="2" fillId="0" borderId="9" xfId="0" applyNumberFormat="1" applyFont="1" applyBorder="1"/>
    <xf numFmtId="1" fontId="31" fillId="3" borderId="11" xfId="0" applyNumberFormat="1" applyFont="1" applyFill="1" applyBorder="1" applyAlignment="1">
      <alignment horizontal="center"/>
    </xf>
    <xf numFmtId="164" fontId="31" fillId="3" borderId="11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0" xfId="0" applyFont="1" applyBorder="1" applyAlignment="1">
      <alignment horizontal="left" indent="1"/>
    </xf>
  </cellXfs>
  <cellStyles count="4">
    <cellStyle name="Hyperlink" xfId="3" builtinId="8"/>
    <cellStyle name="Normal" xfId="0" builtinId="0"/>
    <cellStyle name="Normal 2" xfId="2" xr:uid="{9FF48D76-D943-4B4F-B3E3-81D0253C36FA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976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limestonerevenue.net/parcelviewer/?page=Citizen-Access-Portal&amp;views=Parcel-Detail" TargetMode="External"/><Relationship Id="rId1" Type="http://schemas.openxmlformats.org/officeDocument/2006/relationships/hyperlink" Target="https://limestonerevenue.net/prop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9"/>
  <sheetViews>
    <sheetView showGridLines="0" tabSelected="1" zoomScaleNormal="100" workbookViewId="0">
      <selection activeCell="E22" sqref="E22"/>
    </sheetView>
  </sheetViews>
  <sheetFormatPr defaultColWidth="8.7109375" defaultRowHeight="15" x14ac:dyDescent="0.25"/>
  <cols>
    <col min="1" max="1" width="24" style="56" customWidth="1"/>
    <col min="2" max="2" width="14" customWidth="1"/>
    <col min="3" max="3" width="19.7109375" customWidth="1"/>
    <col min="4" max="4" width="21.28515625" customWidth="1"/>
    <col min="5" max="5" width="47.5703125" customWidth="1"/>
  </cols>
  <sheetData>
    <row r="2" spans="1:5" ht="18" customHeight="1" x14ac:dyDescent="0.3">
      <c r="A2" s="85" t="s">
        <v>0</v>
      </c>
    </row>
    <row r="3" spans="1:5" ht="15" customHeight="1" x14ac:dyDescent="0.25">
      <c r="A3" s="140" t="s">
        <v>1</v>
      </c>
      <c r="B3" s="4" t="s">
        <v>2</v>
      </c>
      <c r="C3" s="59" t="s">
        <v>3</v>
      </c>
      <c r="D3" s="59" t="s">
        <v>4</v>
      </c>
      <c r="E3" s="59" t="s">
        <v>5</v>
      </c>
    </row>
    <row r="4" spans="1:5" ht="15" customHeight="1" x14ac:dyDescent="0.25">
      <c r="A4" s="170" t="s">
        <v>6</v>
      </c>
      <c r="B4" s="167">
        <v>17</v>
      </c>
      <c r="C4" s="168">
        <v>275</v>
      </c>
      <c r="D4" s="169"/>
    </row>
    <row r="5" spans="1:5" ht="15" customHeight="1" x14ac:dyDescent="0.25">
      <c r="A5" s="170" t="s">
        <v>7</v>
      </c>
      <c r="B5" s="167">
        <v>14</v>
      </c>
      <c r="C5" s="169"/>
      <c r="D5" s="169"/>
    </row>
    <row r="6" spans="1:5" ht="15" customHeight="1" x14ac:dyDescent="0.25">
      <c r="A6" s="170" t="s">
        <v>160</v>
      </c>
      <c r="B6" s="167">
        <v>20</v>
      </c>
      <c r="C6" s="168">
        <v>275</v>
      </c>
      <c r="D6" s="168">
        <v>370.6</v>
      </c>
    </row>
    <row r="7" spans="1:5" ht="15" customHeight="1" x14ac:dyDescent="0.25">
      <c r="A7" s="170" t="s">
        <v>8</v>
      </c>
      <c r="B7" s="167">
        <v>8</v>
      </c>
      <c r="C7" s="168">
        <v>275</v>
      </c>
      <c r="D7" s="168">
        <v>228.125</v>
      </c>
    </row>
    <row r="8" spans="1:5" ht="15" customHeight="1" x14ac:dyDescent="0.25">
      <c r="A8" s="170" t="s">
        <v>9</v>
      </c>
      <c r="B8" s="167">
        <v>9</v>
      </c>
      <c r="C8" s="169"/>
      <c r="D8" s="169"/>
    </row>
    <row r="9" spans="1:5" ht="15" customHeight="1" x14ac:dyDescent="0.25">
      <c r="A9" s="170" t="s">
        <v>10</v>
      </c>
      <c r="B9" s="167">
        <v>1</v>
      </c>
      <c r="C9" s="169"/>
      <c r="D9" s="168">
        <v>500</v>
      </c>
    </row>
    <row r="10" spans="1:5" ht="15" hidden="1" customHeight="1" x14ac:dyDescent="0.25">
      <c r="A10" s="54" t="s">
        <v>11</v>
      </c>
      <c r="B10" s="145"/>
      <c r="C10" s="144"/>
      <c r="D10" s="144"/>
    </row>
    <row r="11" spans="1:5" ht="15" hidden="1" customHeight="1" x14ac:dyDescent="0.25">
      <c r="A11" s="54" t="s">
        <v>12</v>
      </c>
      <c r="B11" s="145"/>
      <c r="C11" s="144"/>
      <c r="D11" s="146"/>
    </row>
    <row r="12" spans="1:5" ht="15" hidden="1" customHeight="1" x14ac:dyDescent="0.25">
      <c r="A12" s="54" t="s">
        <v>13</v>
      </c>
      <c r="B12" s="145"/>
      <c r="C12" s="144"/>
      <c r="D12" s="144"/>
    </row>
    <row r="13" spans="1:5" ht="15" hidden="1" customHeight="1" x14ac:dyDescent="0.25">
      <c r="A13" s="54" t="s">
        <v>14</v>
      </c>
      <c r="B13" s="145"/>
      <c r="C13" s="144"/>
      <c r="D13" s="146"/>
    </row>
    <row r="14" spans="1:5" ht="15" hidden="1" customHeight="1" x14ac:dyDescent="0.25">
      <c r="A14" s="54" t="s">
        <v>15</v>
      </c>
      <c r="B14" s="145"/>
      <c r="C14" s="144"/>
      <c r="D14" s="144"/>
    </row>
    <row r="15" spans="1:5" ht="15" hidden="1" customHeight="1" x14ac:dyDescent="0.25">
      <c r="A15" s="54" t="s">
        <v>16</v>
      </c>
      <c r="B15" s="145"/>
      <c r="C15" s="144"/>
      <c r="D15" s="146"/>
    </row>
    <row r="16" spans="1:5" ht="15" hidden="1" customHeight="1" x14ac:dyDescent="0.25">
      <c r="A16" s="54" t="s">
        <v>17</v>
      </c>
      <c r="B16" s="145"/>
      <c r="C16" s="144"/>
      <c r="D16" s="144"/>
    </row>
    <row r="17" spans="1:5" ht="15" hidden="1" customHeight="1" x14ac:dyDescent="0.25">
      <c r="A17" s="54" t="s">
        <v>188</v>
      </c>
      <c r="B17" s="145"/>
      <c r="C17" s="144"/>
      <c r="D17" s="146"/>
    </row>
    <row r="18" spans="1:5" ht="15" hidden="1" customHeight="1" x14ac:dyDescent="0.25">
      <c r="A18" s="54" t="s">
        <v>189</v>
      </c>
      <c r="B18" s="145"/>
      <c r="C18" s="144"/>
      <c r="D18" s="144"/>
    </row>
    <row r="19" spans="1:5" ht="15" customHeight="1" x14ac:dyDescent="0.25">
      <c r="A19" s="55" t="s">
        <v>18</v>
      </c>
      <c r="B19" s="147">
        <f>SUM(B4:B16)</f>
        <v>69</v>
      </c>
      <c r="C19" s="148">
        <f>AVERAGE(C4:C12)</f>
        <v>275</v>
      </c>
      <c r="D19" s="148"/>
      <c r="E19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showGridLines="0" zoomScaleNormal="100" workbookViewId="0">
      <selection activeCell="B1" sqref="B1"/>
    </sheetView>
  </sheetViews>
  <sheetFormatPr defaultColWidth="8.7109375" defaultRowHeight="15" x14ac:dyDescent="0.25"/>
  <cols>
    <col min="1" max="1" width="32.5703125" customWidth="1"/>
    <col min="2" max="4" width="17" customWidth="1"/>
    <col min="5" max="5" width="3" customWidth="1"/>
    <col min="6" max="6" width="70" customWidth="1"/>
  </cols>
  <sheetData>
    <row r="1" spans="1:6" ht="18" customHeight="1" x14ac:dyDescent="0.3">
      <c r="A1" s="85" t="s">
        <v>19</v>
      </c>
    </row>
    <row r="2" spans="1:6" ht="15" customHeight="1" x14ac:dyDescent="0.25">
      <c r="A2" s="139" t="s">
        <v>20</v>
      </c>
      <c r="B2" s="9" t="s">
        <v>21</v>
      </c>
      <c r="C2" s="26" t="s">
        <v>22</v>
      </c>
      <c r="D2" s="26" t="s">
        <v>23</v>
      </c>
    </row>
    <row r="3" spans="1:6" ht="15" customHeight="1" x14ac:dyDescent="0.25">
      <c r="A3" s="140" t="s">
        <v>24</v>
      </c>
      <c r="B3" s="4"/>
      <c r="C3" s="4"/>
      <c r="D3" s="4"/>
    </row>
    <row r="4" spans="1:6" ht="15" customHeight="1" x14ac:dyDescent="0.25">
      <c r="A4" s="66" t="s">
        <v>215</v>
      </c>
      <c r="B4" s="146">
        <v>678462.14669708209</v>
      </c>
      <c r="C4" s="52">
        <f>B4+$B$39</f>
        <v>728462.14669708209</v>
      </c>
      <c r="D4" s="52">
        <f>B4-$B$39</f>
        <v>628462.14669708209</v>
      </c>
      <c r="F4" s="3" t="s">
        <v>263</v>
      </c>
    </row>
    <row r="5" spans="1:6" ht="15" customHeight="1" x14ac:dyDescent="0.25">
      <c r="A5" s="141">
        <v>10000</v>
      </c>
      <c r="B5" s="149">
        <f>A5*(Assumption!B7+Assumption!B8+Assumption!B6)</f>
        <v>370000</v>
      </c>
      <c r="C5" s="52">
        <f>$B$5</f>
        <v>370000</v>
      </c>
      <c r="D5" s="52">
        <f>$B$5</f>
        <v>370000</v>
      </c>
    </row>
    <row r="6" spans="1:6" ht="15" customHeight="1" x14ac:dyDescent="0.25">
      <c r="A6" s="55" t="s">
        <v>230</v>
      </c>
      <c r="B6" s="148">
        <f>B4+B5</f>
        <v>1048462.1466970821</v>
      </c>
      <c r="C6" s="148">
        <f>C4+C5</f>
        <v>1098462.1466970821</v>
      </c>
      <c r="D6" s="148">
        <f>D4+D5</f>
        <v>998462.14669708209</v>
      </c>
    </row>
    <row r="7" spans="1:6" ht="15" customHeight="1" x14ac:dyDescent="0.25">
      <c r="A7" s="140" t="s">
        <v>25</v>
      </c>
      <c r="B7" s="4"/>
      <c r="C7" s="4"/>
      <c r="D7" s="4"/>
    </row>
    <row r="8" spans="1:6" ht="15" customHeight="1" x14ac:dyDescent="0.25">
      <c r="A8" s="66" t="s">
        <v>26</v>
      </c>
      <c r="B8" s="126">
        <f>'Cash Flow Model'!B43</f>
        <v>9.5531205925284191E-2</v>
      </c>
      <c r="C8" s="126">
        <f>IRR(_xlfn.HSTACK(-(B6+200000),'Cash Flow Model'!C40:L40))</f>
        <v>6.571136407510525E-2</v>
      </c>
      <c r="D8" s="126">
        <f>IRR(_xlfn.HSTACK(-(B6-200000),'Cash Flow Model'!C40:L40))</f>
        <v>0.13519327148481142</v>
      </c>
    </row>
    <row r="9" spans="1:6" ht="15" customHeight="1" x14ac:dyDescent="0.25">
      <c r="A9" s="54" t="s">
        <v>27</v>
      </c>
      <c r="B9" s="127">
        <f>'Cash Flow Model'!$C$24/B27</f>
        <v>0.19648913782509742</v>
      </c>
      <c r="C9" s="127">
        <f>'Cash Flow Model'!$C$24/C27</f>
        <v>0.1875453094730731</v>
      </c>
      <c r="D9" s="127">
        <f>'Cash Flow Model'!$C$24/D27</f>
        <v>0.2063287265603882</v>
      </c>
      <c r="E9" s="72"/>
    </row>
    <row r="10" spans="1:6" ht="15" customHeight="1" x14ac:dyDescent="0.25">
      <c r="A10" s="54" t="s">
        <v>28</v>
      </c>
      <c r="B10" s="127">
        <f>'Cash Flow Model'!B46</f>
        <v>0.15499559048534442</v>
      </c>
      <c r="C10" s="127">
        <f>(SUMPRODUCT(('Cash Flow Model'!$C$38:$L$38&lt;=$B$38)*'Cash Flow Model'!$C$19:$L$19)-C25)/$B$38/C27</f>
        <v>0.2271459898312117</v>
      </c>
      <c r="D10" s="127">
        <f>(SUMPRODUCT(('Cash Flow Model'!$C$38:$L$38&lt;=$B$38)*'Cash Flow Model'!$C$19:$L$19)-D25)/$B$38/D27</f>
        <v>0.26848269656475343</v>
      </c>
      <c r="E10" s="72"/>
    </row>
    <row r="11" spans="1:6" ht="15" customHeight="1" x14ac:dyDescent="0.25">
      <c r="A11" s="66" t="s">
        <v>29</v>
      </c>
      <c r="B11" s="128">
        <f>B26/B23</f>
        <v>1.251278963795146</v>
      </c>
      <c r="C11" s="128">
        <f>C26/C23</f>
        <v>1.1943230200897776</v>
      </c>
      <c r="D11" s="128">
        <f>D26/D23</f>
        <v>1.3139392743504525</v>
      </c>
      <c r="F11" s="3"/>
    </row>
    <row r="12" spans="1:6" ht="15" customHeight="1" x14ac:dyDescent="0.25">
      <c r="A12" s="54" t="s">
        <v>30</v>
      </c>
      <c r="B12" s="129" t="str">
        <f>IF(B11&gt;=$B$31-0.00001,"PASS","FAIL")</f>
        <v>PASS</v>
      </c>
      <c r="C12" s="129" t="str">
        <f>IF(C11&gt;=$B$31-0.00001,"PASS","FAIL")</f>
        <v>FAIL</v>
      </c>
      <c r="D12" s="129" t="str">
        <f>IF(D11&gt;=$B$31-0.00001,"PASS","FAIL")</f>
        <v>PASS</v>
      </c>
    </row>
    <row r="13" spans="1:6" ht="15" customHeight="1" x14ac:dyDescent="0.25">
      <c r="A13" s="54" t="s">
        <v>31</v>
      </c>
      <c r="B13" s="130">
        <f>'Cash Flow Model'!B44</f>
        <v>2.2964912533947235</v>
      </c>
      <c r="C13" s="130">
        <f>(SUM('Cash Flow Model'!$C$39:$L$39)-(C25-$B$25)-(C28-$B$28))/C27</f>
        <v>1.8571337255579223</v>
      </c>
      <c r="D13" s="130">
        <f>(SUM('Cash Flow Model'!$C$39:$L$39)-(D25-$B$25)-(D28-$B$28))/D27</f>
        <v>2.3552358390718591</v>
      </c>
    </row>
    <row r="14" spans="1:6" ht="15" customHeight="1" x14ac:dyDescent="0.25">
      <c r="A14" s="140" t="s">
        <v>32</v>
      </c>
      <c r="B14" s="4"/>
      <c r="C14" s="4"/>
      <c r="D14" s="4"/>
    </row>
    <row r="15" spans="1:6" ht="15" customHeight="1" x14ac:dyDescent="0.25">
      <c r="A15" s="54" t="s">
        <v>33</v>
      </c>
      <c r="B15" s="126">
        <f>B26/B6</f>
        <v>6.9665724442317889E-2</v>
      </c>
      <c r="C15" s="126">
        <f>C26/C6</f>
        <v>6.6494667312502684E-2</v>
      </c>
      <c r="D15" s="126">
        <f>D26/D6</f>
        <v>7.3154375698290516E-2</v>
      </c>
    </row>
    <row r="16" spans="1:6" ht="15" customHeight="1" x14ac:dyDescent="0.25">
      <c r="A16" s="54" t="s">
        <v>34</v>
      </c>
      <c r="B16" s="126">
        <f>B26/B20</f>
        <v>9.9522463489025575E-2</v>
      </c>
      <c r="C16" s="126">
        <f>C26/C20</f>
        <v>9.4992381875003862E-2</v>
      </c>
      <c r="D16" s="126">
        <f>D26/D20</f>
        <v>0.10450625099755789</v>
      </c>
    </row>
    <row r="17" spans="1:6" ht="15" customHeight="1" x14ac:dyDescent="0.25">
      <c r="A17" s="142" t="s">
        <v>35</v>
      </c>
      <c r="B17" s="103">
        <f>B6/Land!$P$29</f>
        <v>15195.10357532003</v>
      </c>
      <c r="C17" s="103">
        <f>C6/Land!$P$29</f>
        <v>15919.74125647945</v>
      </c>
      <c r="D17" s="103">
        <f>D6/Land!$P$29</f>
        <v>14470.46589416061</v>
      </c>
      <c r="F17" s="3"/>
    </row>
    <row r="18" spans="1:6" ht="15" customHeight="1" x14ac:dyDescent="0.25">
      <c r="A18" s="140" t="s">
        <v>36</v>
      </c>
      <c r="B18" s="4"/>
      <c r="C18" s="4"/>
      <c r="D18" s="4"/>
    </row>
    <row r="19" spans="1:6" ht="15" customHeight="1" x14ac:dyDescent="0.25">
      <c r="A19" s="54" t="s">
        <v>37</v>
      </c>
      <c r="B19" s="131">
        <v>0.7</v>
      </c>
      <c r="C19" s="126">
        <f>$B$19</f>
        <v>0.7</v>
      </c>
      <c r="D19" s="126">
        <f>$B$19</f>
        <v>0.7</v>
      </c>
    </row>
    <row r="20" spans="1:6" ht="15" customHeight="1" x14ac:dyDescent="0.25">
      <c r="A20" s="54" t="s">
        <v>234</v>
      </c>
      <c r="B20" s="52">
        <f>B19*B6</f>
        <v>733923.50268795737</v>
      </c>
      <c r="C20" s="52">
        <f>C19*C6</f>
        <v>768923.50268795737</v>
      </c>
      <c r="D20" s="52">
        <f>D19*D6</f>
        <v>698923.50268795737</v>
      </c>
    </row>
    <row r="21" spans="1:6" ht="15" customHeight="1" x14ac:dyDescent="0.25">
      <c r="A21" s="54" t="s">
        <v>233</v>
      </c>
      <c r="B21" s="132">
        <f>$B$34</f>
        <v>6.8699999999999997E-2</v>
      </c>
      <c r="C21" s="132">
        <f>$B$34</f>
        <v>6.8699999999999997E-2</v>
      </c>
      <c r="D21" s="132">
        <f>$B$34</f>
        <v>6.8699999999999997E-2</v>
      </c>
    </row>
    <row r="22" spans="1:6" ht="15" customHeight="1" x14ac:dyDescent="0.25">
      <c r="A22" s="54" t="s">
        <v>39</v>
      </c>
      <c r="B22" s="52">
        <f>B20*B21</f>
        <v>50420.54463466267</v>
      </c>
      <c r="C22" s="52">
        <f>C20*C21</f>
        <v>52825.04463466267</v>
      </c>
      <c r="D22" s="52">
        <f>D20*D21</f>
        <v>48016.04463466267</v>
      </c>
    </row>
    <row r="23" spans="1:6" ht="15" customHeight="1" x14ac:dyDescent="0.25">
      <c r="A23" s="54" t="s">
        <v>40</v>
      </c>
      <c r="B23" s="52">
        <f>IF($B$36&gt;=1,B22,B24)</f>
        <v>58373.773645537047</v>
      </c>
      <c r="C23" s="52">
        <f>IF($B$36&gt;=1,C22,C24)</f>
        <v>61157.554339452843</v>
      </c>
      <c r="D23" s="52">
        <f>IF($B$36&gt;=1,D22,D24)</f>
        <v>55589.992951621251</v>
      </c>
      <c r="F23" s="3"/>
    </row>
    <row r="24" spans="1:6" ht="15" customHeight="1" x14ac:dyDescent="0.25">
      <c r="A24" s="54" t="s">
        <v>232</v>
      </c>
      <c r="B24" s="52">
        <f>-PMT(B21,$B$35,B20)</f>
        <v>58373.773645537047</v>
      </c>
      <c r="C24" s="52">
        <f>-PMT(C21,$B$35,C20)</f>
        <v>61157.554339452843</v>
      </c>
      <c r="D24" s="52">
        <f>-PMT(D21,$B$35,D20)</f>
        <v>55589.992951621251</v>
      </c>
    </row>
    <row r="25" spans="1:6" ht="15" customHeight="1" x14ac:dyDescent="0.25">
      <c r="A25" s="54" t="s">
        <v>41</v>
      </c>
      <c r="B25" s="52">
        <f>MIN($B$36,$B$38)*B22+MAX($B$38-$B$36,0)*B24</f>
        <v>291868.86822768522</v>
      </c>
      <c r="C25" s="52">
        <f>MIN($B$36,$B$38)*C22+MAX($B$38-$B$36,0)*C24</f>
        <v>305787.77169726422</v>
      </c>
      <c r="D25" s="52">
        <f>MIN($B$36,$B$38)*D22+MAX($B$38-$B$36,0)*D24</f>
        <v>277949.96475810627</v>
      </c>
    </row>
    <row r="26" spans="1:6" ht="15" customHeight="1" x14ac:dyDescent="0.25">
      <c r="A26" s="54" t="s">
        <v>231</v>
      </c>
      <c r="B26" s="103">
        <f>Land!C61</f>
        <v>73041.875</v>
      </c>
      <c r="C26" s="52">
        <f>$B$26</f>
        <v>73041.875</v>
      </c>
      <c r="D26" s="52">
        <f>$B$26</f>
        <v>73041.875</v>
      </c>
      <c r="F26" s="3"/>
    </row>
    <row r="27" spans="1:6" ht="15" customHeight="1" x14ac:dyDescent="0.25">
      <c r="A27" s="54" t="s">
        <v>42</v>
      </c>
      <c r="B27" s="103">
        <f>B6-B20</f>
        <v>314538.64400912472</v>
      </c>
      <c r="C27" s="52">
        <f>C6-C20</f>
        <v>329538.64400912472</v>
      </c>
      <c r="D27" s="52">
        <f>D6-D20</f>
        <v>299538.64400912472</v>
      </c>
    </row>
    <row r="28" spans="1:6" ht="15" customHeight="1" x14ac:dyDescent="0.25">
      <c r="A28" s="54" t="s">
        <v>43</v>
      </c>
      <c r="B28" s="103">
        <f>'Cash Flow Model'!B33</f>
        <v>624710.54529354081</v>
      </c>
      <c r="C28" s="52">
        <f>IF($B$36&gt;=$B$38,C20,C20*(1+C21)^($B$38-$B$36)-C24*((1+C21)^($B$38-$B$36)-1)/C21)</f>
        <v>721129.55698158161</v>
      </c>
      <c r="D28" s="52">
        <f>IF($B$36&gt;=$B$38,D20,D20*(1+D21)^($B$38-$B$36)-D24*((1+D21)^($B$38-$B$36)-1)/D21)</f>
        <v>655480.5440274335</v>
      </c>
    </row>
    <row r="29" spans="1:6" x14ac:dyDescent="0.25">
      <c r="A29" s="138"/>
    </row>
    <row r="30" spans="1:6" ht="15" customHeight="1" x14ac:dyDescent="0.25">
      <c r="A30" s="139" t="s">
        <v>44</v>
      </c>
      <c r="B30" s="18"/>
      <c r="C30" s="143"/>
      <c r="D30" s="143"/>
    </row>
    <row r="31" spans="1:6" ht="15" customHeight="1" x14ac:dyDescent="0.25">
      <c r="A31" s="54" t="s">
        <v>45</v>
      </c>
      <c r="B31" s="133">
        <v>1.25</v>
      </c>
      <c r="F31" s="3"/>
    </row>
    <row r="32" spans="1:6" ht="15" customHeight="1" x14ac:dyDescent="0.25">
      <c r="A32" s="54" t="s">
        <v>46</v>
      </c>
      <c r="B32" s="134">
        <v>3.8699999999999998E-2</v>
      </c>
      <c r="F32" s="3"/>
    </row>
    <row r="33" spans="1:6" ht="15" customHeight="1" x14ac:dyDescent="0.25">
      <c r="A33" s="54" t="s">
        <v>47</v>
      </c>
      <c r="B33" s="134">
        <v>0.03</v>
      </c>
    </row>
    <row r="34" spans="1:6" ht="15" customHeight="1" x14ac:dyDescent="0.25">
      <c r="A34" s="54" t="s">
        <v>38</v>
      </c>
      <c r="B34" s="102">
        <f>B32+B33</f>
        <v>6.8699999999999997E-2</v>
      </c>
    </row>
    <row r="35" spans="1:6" ht="15" customHeight="1" x14ac:dyDescent="0.25">
      <c r="A35" s="54" t="s">
        <v>48</v>
      </c>
      <c r="B35" s="135">
        <v>30</v>
      </c>
      <c r="F35" s="3"/>
    </row>
    <row r="36" spans="1:6" ht="15" customHeight="1" x14ac:dyDescent="0.25">
      <c r="A36" s="54" t="s">
        <v>266</v>
      </c>
      <c r="B36" s="135">
        <v>0</v>
      </c>
      <c r="F36" s="3"/>
    </row>
    <row r="37" spans="1:6" ht="15" customHeight="1" x14ac:dyDescent="0.25">
      <c r="A37" s="54" t="s">
        <v>49</v>
      </c>
      <c r="B37" s="136">
        <v>0.1</v>
      </c>
      <c r="F37" s="3"/>
    </row>
    <row r="38" spans="1:6" ht="15" customHeight="1" x14ac:dyDescent="0.25">
      <c r="A38" s="54" t="s">
        <v>267</v>
      </c>
      <c r="B38" s="135">
        <v>5</v>
      </c>
      <c r="F38" s="3"/>
    </row>
    <row r="39" spans="1:6" ht="15" customHeight="1" x14ac:dyDescent="0.25">
      <c r="A39" s="54" t="s">
        <v>51</v>
      </c>
      <c r="B39" s="137">
        <v>50000</v>
      </c>
      <c r="F39" s="3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5"/>
  <sheetViews>
    <sheetView showGridLines="0" zoomScaleNormal="100" workbookViewId="0"/>
  </sheetViews>
  <sheetFormatPr defaultColWidth="8.7109375" defaultRowHeight="15" outlineLevelCol="1" x14ac:dyDescent="0.25"/>
  <cols>
    <col min="1" max="1" width="25.140625" customWidth="1"/>
    <col min="2" max="2" width="10.5703125" bestFit="1" customWidth="1"/>
    <col min="3" max="3" width="15" customWidth="1"/>
    <col min="4" max="8" width="13" customWidth="1"/>
    <col min="9" max="13" width="13" customWidth="1" outlineLevel="1"/>
    <col min="14" max="14" width="4.5703125" bestFit="1" customWidth="1"/>
    <col min="15" max="15" width="36.42578125" customWidth="1"/>
    <col min="16" max="16" width="6.85546875" customWidth="1"/>
    <col min="17" max="17" width="9.7109375" customWidth="1"/>
    <col min="18" max="18" width="13" customWidth="1"/>
    <col min="19" max="19" width="60" customWidth="1"/>
  </cols>
  <sheetData>
    <row r="1" spans="1:17" ht="24.95" customHeight="1" x14ac:dyDescent="0.3">
      <c r="A1" s="1" t="s">
        <v>253</v>
      </c>
      <c r="N1" s="160"/>
    </row>
    <row r="2" spans="1:17" ht="23.25" customHeight="1" x14ac:dyDescent="0.25">
      <c r="A2" s="9" t="s">
        <v>102</v>
      </c>
      <c r="B2" s="26"/>
      <c r="C2" s="26" t="s">
        <v>245</v>
      </c>
      <c r="D2" s="26" t="s">
        <v>238</v>
      </c>
      <c r="E2" s="26" t="s">
        <v>239</v>
      </c>
      <c r="F2" s="26" t="s">
        <v>67</v>
      </c>
      <c r="G2" s="26" t="s">
        <v>68</v>
      </c>
      <c r="H2" s="26" t="s">
        <v>69</v>
      </c>
      <c r="I2" s="26" t="s">
        <v>70</v>
      </c>
      <c r="J2" s="26" t="s">
        <v>71</v>
      </c>
      <c r="K2" s="26" t="s">
        <v>72</v>
      </c>
      <c r="L2" s="26" t="s">
        <v>73</v>
      </c>
      <c r="M2" s="26" t="s">
        <v>74</v>
      </c>
      <c r="O2" s="9" t="s">
        <v>103</v>
      </c>
      <c r="P2" s="9" t="s">
        <v>104</v>
      </c>
      <c r="Q2" s="9" t="s">
        <v>105</v>
      </c>
    </row>
    <row r="3" spans="1:17" ht="9.9499999999999993" customHeight="1" x14ac:dyDescent="0.2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O3" s="27"/>
      <c r="P3" s="27"/>
      <c r="Q3" s="27"/>
    </row>
    <row r="4" spans="1:17" ht="15" customHeight="1" x14ac:dyDescent="0.25">
      <c r="A4" s="78" t="s">
        <v>169</v>
      </c>
      <c r="B4" s="79"/>
      <c r="C4" s="80">
        <f>Assumption!B4+Assumption!B7+Assumption!B6</f>
        <v>45</v>
      </c>
      <c r="D4" s="80">
        <f>MIN(C4+$Q4,$P$4*90%)</f>
        <v>47</v>
      </c>
      <c r="E4" s="80">
        <f t="shared" ref="E4:M4" si="0">MIN(D4+$Q4,$P$4*90%)</f>
        <v>49</v>
      </c>
      <c r="F4" s="80">
        <f t="shared" si="0"/>
        <v>51</v>
      </c>
      <c r="G4" s="80">
        <f t="shared" si="0"/>
        <v>53</v>
      </c>
      <c r="H4" s="80">
        <f t="shared" si="0"/>
        <v>55</v>
      </c>
      <c r="I4" s="80">
        <f t="shared" si="0"/>
        <v>57</v>
      </c>
      <c r="J4" s="80">
        <f t="shared" si="0"/>
        <v>59</v>
      </c>
      <c r="K4" s="80">
        <f t="shared" si="0"/>
        <v>61</v>
      </c>
      <c r="L4" s="80">
        <f t="shared" si="0"/>
        <v>61.2</v>
      </c>
      <c r="M4" s="80">
        <f t="shared" si="0"/>
        <v>61.2</v>
      </c>
      <c r="N4" s="79"/>
      <c r="O4" s="80">
        <f>P4-C4</f>
        <v>23</v>
      </c>
      <c r="P4" s="80">
        <f>SUM(Assumption!B4:B8)</f>
        <v>68</v>
      </c>
      <c r="Q4" s="81">
        <v>2</v>
      </c>
    </row>
    <row r="5" spans="1:17" ht="15" customHeight="1" x14ac:dyDescent="0.25">
      <c r="A5" s="78" t="s">
        <v>166</v>
      </c>
      <c r="B5" s="79"/>
      <c r="C5" s="82">
        <f>C4/SUM(Assumption!$B$4:$B$8)</f>
        <v>0.66176470588235292</v>
      </c>
      <c r="D5" s="82">
        <f>D4/SUM(Assumption!$B$4:$B$8)</f>
        <v>0.69117647058823528</v>
      </c>
      <c r="E5" s="82">
        <f>E4/SUM(Assumption!$B$4:$B$8)</f>
        <v>0.72058823529411764</v>
      </c>
      <c r="F5" s="82">
        <f>F4/SUM(Assumption!$B$4:$B$8)</f>
        <v>0.75</v>
      </c>
      <c r="G5" s="82">
        <f>G4/SUM(Assumption!$B$4:$B$8)</f>
        <v>0.77941176470588236</v>
      </c>
      <c r="H5" s="82">
        <f>H4/SUM(Assumption!$B$4:$B$8)</f>
        <v>0.80882352941176472</v>
      </c>
      <c r="I5" s="82">
        <f>I4/SUM(Assumption!$B$4:$B$8)</f>
        <v>0.83823529411764708</v>
      </c>
      <c r="J5" s="82">
        <f>J4/SUM(Assumption!$B$4:$B$8)</f>
        <v>0.86764705882352944</v>
      </c>
      <c r="K5" s="82">
        <f>K4/SUM(Assumption!$B$4:$B$8)</f>
        <v>0.8970588235294118</v>
      </c>
      <c r="L5" s="82">
        <f>L4/SUM(Assumption!$B$4:$B$8)</f>
        <v>0.9</v>
      </c>
      <c r="M5" s="82">
        <f>M4/SUM(Assumption!$B$4:$B$8)</f>
        <v>0.9</v>
      </c>
      <c r="N5" s="82"/>
      <c r="O5" s="80"/>
      <c r="P5" s="80"/>
      <c r="Q5" s="83"/>
    </row>
    <row r="6" spans="1:17" ht="15" customHeight="1" x14ac:dyDescent="0.25">
      <c r="A6" s="78" t="s">
        <v>167</v>
      </c>
      <c r="B6" s="79"/>
      <c r="C6" s="80">
        <f>AVERAGE(Assumption!C4,Assumption!C6,Assumption!C7)</f>
        <v>275</v>
      </c>
      <c r="D6" s="80">
        <f t="shared" ref="D6:M6" si="1">C6*(1+$P$32)</f>
        <v>283.25</v>
      </c>
      <c r="E6" s="80">
        <f t="shared" si="1"/>
        <v>291.7475</v>
      </c>
      <c r="F6" s="80">
        <f t="shared" si="1"/>
        <v>300.49992500000002</v>
      </c>
      <c r="G6" s="80">
        <f t="shared" si="1"/>
        <v>309.51492275000004</v>
      </c>
      <c r="H6" s="80">
        <f t="shared" si="1"/>
        <v>318.80037043250007</v>
      </c>
      <c r="I6" s="80">
        <f t="shared" si="1"/>
        <v>328.36438154547511</v>
      </c>
      <c r="J6" s="80">
        <f t="shared" si="1"/>
        <v>338.21531299183937</v>
      </c>
      <c r="K6" s="80">
        <f t="shared" si="1"/>
        <v>348.36177238159456</v>
      </c>
      <c r="L6" s="80">
        <f t="shared" si="1"/>
        <v>358.81262555304238</v>
      </c>
      <c r="M6" s="80">
        <f t="shared" si="1"/>
        <v>369.57700431963366</v>
      </c>
      <c r="N6" s="79"/>
      <c r="O6" s="80"/>
      <c r="P6" s="80"/>
      <c r="Q6" s="83"/>
    </row>
    <row r="7" spans="1:17" ht="15" customHeight="1" x14ac:dyDescent="0.25">
      <c r="A7" s="78" t="s">
        <v>168</v>
      </c>
      <c r="B7" s="79"/>
      <c r="C7" s="80"/>
      <c r="D7" s="82">
        <f>(D6-C6)/D6</f>
        <v>2.9126213592233011E-2</v>
      </c>
      <c r="E7" s="82">
        <f t="shared" ref="E7:M7" si="2">(E6-D6)/E6</f>
        <v>2.9126213592233018E-2</v>
      </c>
      <c r="F7" s="82">
        <f t="shared" si="2"/>
        <v>2.9126213592233063E-2</v>
      </c>
      <c r="G7" s="82">
        <f t="shared" si="2"/>
        <v>2.9126213592233073E-2</v>
      </c>
      <c r="H7" s="82">
        <f t="shared" si="2"/>
        <v>2.9126213592233111E-2</v>
      </c>
      <c r="I7" s="82">
        <f t="shared" si="2"/>
        <v>2.9126213592233115E-2</v>
      </c>
      <c r="J7" s="82">
        <f t="shared" si="2"/>
        <v>2.9126213592233021E-2</v>
      </c>
      <c r="K7" s="82">
        <f t="shared" si="2"/>
        <v>2.9126213592233045E-2</v>
      </c>
      <c r="L7" s="82">
        <f t="shared" si="2"/>
        <v>2.9126213592232959E-2</v>
      </c>
      <c r="M7" s="82">
        <f t="shared" si="2"/>
        <v>2.9126213592233028E-2</v>
      </c>
      <c r="N7" s="79"/>
      <c r="O7" s="80"/>
      <c r="P7" s="80"/>
      <c r="Q7" s="83"/>
    </row>
    <row r="8" spans="1:17" ht="15" customHeight="1" x14ac:dyDescent="0.25">
      <c r="A8" s="78"/>
      <c r="B8" s="79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79"/>
      <c r="O8" s="80"/>
      <c r="P8" s="80"/>
      <c r="Q8" s="83"/>
    </row>
    <row r="9" spans="1:17" ht="15" customHeight="1" x14ac:dyDescent="0.25">
      <c r="A9" s="78" t="s">
        <v>170</v>
      </c>
      <c r="B9" s="79"/>
      <c r="C9" s="80">
        <f>Assumption!B9</f>
        <v>1</v>
      </c>
      <c r="D9" s="80">
        <f>MIN($P9,C9+$Q9)</f>
        <v>1</v>
      </c>
      <c r="E9" s="80">
        <f>MIN($P9,D9+$Q9)</f>
        <v>1</v>
      </c>
      <c r="F9" s="80">
        <f>MIN($P9,E9+$Q9)</f>
        <v>1</v>
      </c>
      <c r="G9" s="80">
        <f>MIN($P9,F9+$Q9)</f>
        <v>1</v>
      </c>
      <c r="H9" s="80">
        <f t="shared" ref="H9:M9" si="3">MIN($P9,G9+$Q9)</f>
        <v>1</v>
      </c>
      <c r="I9" s="80">
        <f t="shared" si="3"/>
        <v>1</v>
      </c>
      <c r="J9" s="80">
        <f t="shared" si="3"/>
        <v>1</v>
      </c>
      <c r="K9" s="80">
        <f t="shared" si="3"/>
        <v>1</v>
      </c>
      <c r="L9" s="80">
        <f t="shared" si="3"/>
        <v>1</v>
      </c>
      <c r="M9" s="80">
        <f t="shared" si="3"/>
        <v>1</v>
      </c>
      <c r="N9" s="79"/>
      <c r="O9" s="80">
        <f>P9-C9</f>
        <v>0</v>
      </c>
      <c r="P9" s="80">
        <f>Assumption!B9+Assumption!B10</f>
        <v>1</v>
      </c>
      <c r="Q9" s="81">
        <v>1</v>
      </c>
    </row>
    <row r="10" spans="1:17" ht="15" customHeight="1" x14ac:dyDescent="0.25">
      <c r="A10" s="78" t="s">
        <v>166</v>
      </c>
      <c r="B10" s="79"/>
      <c r="C10" s="82">
        <f>C9/SUM(Assumption!$B$9:$B$10)</f>
        <v>1</v>
      </c>
      <c r="D10" s="82">
        <f>D9/SUM(Assumption!$B$9:$B$10)</f>
        <v>1</v>
      </c>
      <c r="E10" s="82">
        <f>E9/SUM(Assumption!$B$9:$B$10)</f>
        <v>1</v>
      </c>
      <c r="F10" s="82">
        <f>F9/SUM(Assumption!$B$9:$B$10)</f>
        <v>1</v>
      </c>
      <c r="G10" s="82">
        <f>G9/SUM(Assumption!$B$9:$B$10)</f>
        <v>1</v>
      </c>
      <c r="H10" s="82">
        <f>H9/SUM(Assumption!$B$9:$B$10)</f>
        <v>1</v>
      </c>
      <c r="I10" s="82">
        <f>I9/SUM(Assumption!$B$9:$B$10)</f>
        <v>1</v>
      </c>
      <c r="J10" s="82">
        <f>J9/SUM(Assumption!$B$9:$B$10)</f>
        <v>1</v>
      </c>
      <c r="K10" s="82">
        <f>K9/SUM(Assumption!$B$9:$B$10)</f>
        <v>1</v>
      </c>
      <c r="L10" s="82">
        <f>L9/SUM(Assumption!$B$9:$B$10)</f>
        <v>1</v>
      </c>
      <c r="M10" s="82">
        <f>M9/SUM(Assumption!$B$9:$B$10)</f>
        <v>1</v>
      </c>
      <c r="N10" s="79"/>
      <c r="O10" s="80"/>
      <c r="P10" s="80"/>
      <c r="Q10" s="83"/>
    </row>
    <row r="11" spans="1:17" ht="15" customHeight="1" x14ac:dyDescent="0.25">
      <c r="A11" s="78" t="s">
        <v>167</v>
      </c>
      <c r="B11" s="79"/>
      <c r="C11" s="80">
        <f>Assumption!D9</f>
        <v>500</v>
      </c>
      <c r="D11" s="80">
        <f t="shared" ref="D11:M11" si="4">C11*(1+$P$33)</f>
        <v>515</v>
      </c>
      <c r="E11" s="80">
        <f t="shared" si="4"/>
        <v>530.45000000000005</v>
      </c>
      <c r="F11" s="80">
        <f t="shared" si="4"/>
        <v>546.36350000000004</v>
      </c>
      <c r="G11" s="80">
        <f t="shared" si="4"/>
        <v>562.75440500000002</v>
      </c>
      <c r="H11" s="80">
        <f t="shared" si="4"/>
        <v>579.63703715000008</v>
      </c>
      <c r="I11" s="80">
        <f t="shared" si="4"/>
        <v>597.02614826450008</v>
      </c>
      <c r="J11" s="80">
        <f t="shared" si="4"/>
        <v>614.93693271243512</v>
      </c>
      <c r="K11" s="80">
        <f t="shared" si="4"/>
        <v>633.38504069380815</v>
      </c>
      <c r="L11" s="80">
        <f t="shared" si="4"/>
        <v>652.38659191462239</v>
      </c>
      <c r="M11" s="80">
        <f t="shared" si="4"/>
        <v>671.95818967206105</v>
      </c>
      <c r="N11" s="79"/>
      <c r="O11" s="80"/>
      <c r="P11" s="80"/>
      <c r="Q11" s="83"/>
    </row>
    <row r="12" spans="1:17" ht="15" customHeight="1" x14ac:dyDescent="0.25">
      <c r="A12" s="78" t="s">
        <v>168</v>
      </c>
      <c r="B12" s="79"/>
      <c r="C12" s="80"/>
      <c r="D12" s="82">
        <f>(D11-C11)/D11</f>
        <v>2.9126213592233011E-2</v>
      </c>
      <c r="E12" s="82">
        <f t="shared" ref="E12:M12" si="5">(E11-D11)/E11</f>
        <v>2.9126213592233094E-2</v>
      </c>
      <c r="F12" s="82">
        <f t="shared" si="5"/>
        <v>2.9126213592233007E-2</v>
      </c>
      <c r="G12" s="82">
        <f t="shared" si="5"/>
        <v>2.9126213592232966E-2</v>
      </c>
      <c r="H12" s="82">
        <f t="shared" si="5"/>
        <v>2.9126213592233115E-2</v>
      </c>
      <c r="I12" s="82">
        <f t="shared" si="5"/>
        <v>2.9126213592233E-2</v>
      </c>
      <c r="J12" s="82">
        <f t="shared" si="5"/>
        <v>2.9126213592233073E-2</v>
      </c>
      <c r="K12" s="82">
        <f t="shared" si="5"/>
        <v>2.9126213592232969E-2</v>
      </c>
      <c r="L12" s="82">
        <f t="shared" si="5"/>
        <v>2.9126213592232997E-2</v>
      </c>
      <c r="M12" s="82">
        <f t="shared" si="5"/>
        <v>2.9126213592233004E-2</v>
      </c>
      <c r="N12" s="79"/>
      <c r="O12" s="80"/>
      <c r="P12" s="80"/>
      <c r="Q12" s="83"/>
    </row>
    <row r="13" spans="1:17" ht="15" customHeight="1" x14ac:dyDescent="0.25">
      <c r="A13" s="84"/>
      <c r="B13" s="79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79"/>
      <c r="O13" s="80"/>
      <c r="P13" s="80"/>
      <c r="Q13" s="83"/>
    </row>
    <row r="14" spans="1:17" ht="15" hidden="1" customHeight="1" x14ac:dyDescent="0.25">
      <c r="A14" s="78" t="s">
        <v>171</v>
      </c>
      <c r="B14" s="79"/>
      <c r="C14" s="80">
        <f>Assumption!B11</f>
        <v>0</v>
      </c>
      <c r="D14" s="80">
        <f>MIN($P14,C14+$Q14)</f>
        <v>0</v>
      </c>
      <c r="E14" s="80">
        <f>MIN($P14,D14+$Q14)</f>
        <v>0</v>
      </c>
      <c r="F14" s="80">
        <f>MIN($P14,E14+$Q14)</f>
        <v>0</v>
      </c>
      <c r="G14" s="80">
        <f>MIN($P14,F14+$Q14)</f>
        <v>0</v>
      </c>
      <c r="H14" s="80">
        <f t="shared" ref="H14:M14" si="6">MIN($P14,G14+$Q14)</f>
        <v>0</v>
      </c>
      <c r="I14" s="80">
        <f t="shared" si="6"/>
        <v>0</v>
      </c>
      <c r="J14" s="80">
        <f t="shared" si="6"/>
        <v>0</v>
      </c>
      <c r="K14" s="80">
        <f t="shared" si="6"/>
        <v>0</v>
      </c>
      <c r="L14" s="80">
        <f t="shared" si="6"/>
        <v>0</v>
      </c>
      <c r="M14" s="80">
        <f t="shared" si="6"/>
        <v>0</v>
      </c>
      <c r="N14" s="79"/>
      <c r="O14" s="80">
        <f>P14-C14</f>
        <v>0</v>
      </c>
      <c r="P14" s="80">
        <f>Assumption!B11+Assumption!B12</f>
        <v>0</v>
      </c>
      <c r="Q14" s="83">
        <v>1</v>
      </c>
    </row>
    <row r="15" spans="1:17" ht="15" hidden="1" customHeight="1" x14ac:dyDescent="0.25">
      <c r="A15" s="78" t="s">
        <v>166</v>
      </c>
      <c r="B15" s="79"/>
      <c r="C15" s="82" t="e">
        <f>C14/SUM(Assumption!B11:$B$12)</f>
        <v>#DIV/0!</v>
      </c>
      <c r="D15" s="82" t="e">
        <f>D14/SUM(Assumption!$B$11:$C$12)</f>
        <v>#DIV/0!</v>
      </c>
      <c r="E15" s="82" t="e">
        <f>E14/SUM(Assumption!$B$11:$C$12)</f>
        <v>#DIV/0!</v>
      </c>
      <c r="F15" s="82" t="e">
        <f>F14/SUM(Assumption!$B$11:$C$12)</f>
        <v>#DIV/0!</v>
      </c>
      <c r="G15" s="82" t="e">
        <f>G14/SUM(Assumption!$B$11:$C$12)</f>
        <v>#DIV/0!</v>
      </c>
      <c r="H15" s="82" t="e">
        <f>H14/SUM(Assumption!$B$11:$C$12)</f>
        <v>#DIV/0!</v>
      </c>
      <c r="I15" s="82" t="e">
        <f>I14/SUM(Assumption!$B$11:$C$12)</f>
        <v>#DIV/0!</v>
      </c>
      <c r="J15" s="82" t="e">
        <f>J14/SUM(Assumption!$B$11:$C$12)</f>
        <v>#DIV/0!</v>
      </c>
      <c r="K15" s="82" t="e">
        <f>K14/SUM(Assumption!$B$11:$C$12)</f>
        <v>#DIV/0!</v>
      </c>
      <c r="L15" s="82" t="e">
        <f>L14/SUM(Assumption!$B$11:$C$12)</f>
        <v>#DIV/0!</v>
      </c>
      <c r="M15" s="82" t="e">
        <f>M14/SUM(Assumption!$B$11:$C$12)</f>
        <v>#DIV/0!</v>
      </c>
      <c r="N15" s="79"/>
      <c r="O15" s="80"/>
      <c r="P15" s="80"/>
      <c r="Q15" s="83"/>
    </row>
    <row r="16" spans="1:17" ht="15" hidden="1" customHeight="1" x14ac:dyDescent="0.25">
      <c r="A16" s="78" t="s">
        <v>167</v>
      </c>
      <c r="B16" s="79"/>
      <c r="C16" s="80">
        <f>Assumption!D11</f>
        <v>0</v>
      </c>
      <c r="D16" s="80">
        <f t="shared" ref="D16:M16" si="7">C16*(1+$P$34)</f>
        <v>0</v>
      </c>
      <c r="E16" s="80">
        <f t="shared" si="7"/>
        <v>0</v>
      </c>
      <c r="F16" s="80">
        <f t="shared" si="7"/>
        <v>0</v>
      </c>
      <c r="G16" s="80">
        <f t="shared" si="7"/>
        <v>0</v>
      </c>
      <c r="H16" s="80">
        <f t="shared" si="7"/>
        <v>0</v>
      </c>
      <c r="I16" s="80">
        <f t="shared" si="7"/>
        <v>0</v>
      </c>
      <c r="J16" s="80">
        <f t="shared" si="7"/>
        <v>0</v>
      </c>
      <c r="K16" s="80">
        <f t="shared" si="7"/>
        <v>0</v>
      </c>
      <c r="L16" s="80">
        <f t="shared" si="7"/>
        <v>0</v>
      </c>
      <c r="M16" s="80">
        <f t="shared" si="7"/>
        <v>0</v>
      </c>
      <c r="N16" s="79"/>
      <c r="O16" s="80"/>
      <c r="P16" s="80"/>
      <c r="Q16" s="83"/>
    </row>
    <row r="17" spans="1:17" ht="15" hidden="1" customHeight="1" x14ac:dyDescent="0.25">
      <c r="A17" s="78" t="s">
        <v>168</v>
      </c>
      <c r="B17" s="79"/>
      <c r="C17" s="80"/>
      <c r="D17" s="82" t="e">
        <f>(D16-C16)/D16</f>
        <v>#DIV/0!</v>
      </c>
      <c r="E17" s="82" t="e">
        <f t="shared" ref="E17:M17" si="8">(E16-D16)/E16</f>
        <v>#DIV/0!</v>
      </c>
      <c r="F17" s="82" t="e">
        <f t="shared" si="8"/>
        <v>#DIV/0!</v>
      </c>
      <c r="G17" s="82" t="e">
        <f t="shared" si="8"/>
        <v>#DIV/0!</v>
      </c>
      <c r="H17" s="82" t="e">
        <f t="shared" si="8"/>
        <v>#DIV/0!</v>
      </c>
      <c r="I17" s="82" t="e">
        <f t="shared" si="8"/>
        <v>#DIV/0!</v>
      </c>
      <c r="J17" s="82" t="e">
        <f t="shared" si="8"/>
        <v>#DIV/0!</v>
      </c>
      <c r="K17" s="82" t="e">
        <f t="shared" si="8"/>
        <v>#DIV/0!</v>
      </c>
      <c r="L17" s="82" t="e">
        <f t="shared" si="8"/>
        <v>#DIV/0!</v>
      </c>
      <c r="M17" s="82" t="e">
        <f t="shared" si="8"/>
        <v>#DIV/0!</v>
      </c>
      <c r="N17" s="79"/>
      <c r="O17" s="80"/>
      <c r="P17" s="80"/>
      <c r="Q17" s="83"/>
    </row>
    <row r="18" spans="1:17" ht="15" hidden="1" customHeight="1" x14ac:dyDescent="0.25">
      <c r="A18" s="78"/>
      <c r="B18" s="79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79"/>
      <c r="O18" s="80"/>
      <c r="P18" s="80"/>
      <c r="Q18" s="83"/>
    </row>
    <row r="19" spans="1:17" ht="15" hidden="1" customHeight="1" x14ac:dyDescent="0.25">
      <c r="A19" s="78" t="s">
        <v>172</v>
      </c>
      <c r="B19" s="79"/>
      <c r="C19" s="80">
        <f>Assumption!B13</f>
        <v>0</v>
      </c>
      <c r="D19" s="80">
        <f>MIN($P19,C19+$Q19)</f>
        <v>0</v>
      </c>
      <c r="E19" s="80">
        <f>MIN($P19,D19+$Q19)</f>
        <v>0</v>
      </c>
      <c r="F19" s="80">
        <f>MIN($P19,E19+$Q19)</f>
        <v>0</v>
      </c>
      <c r="G19" s="80">
        <f>MIN($P19,F19+$Q19)</f>
        <v>0</v>
      </c>
      <c r="H19" s="80">
        <f t="shared" ref="H19:M19" si="9">MIN($P19,G19+$Q19)</f>
        <v>0</v>
      </c>
      <c r="I19" s="80">
        <f t="shared" si="9"/>
        <v>0</v>
      </c>
      <c r="J19" s="80">
        <f t="shared" si="9"/>
        <v>0</v>
      </c>
      <c r="K19" s="80">
        <f t="shared" si="9"/>
        <v>0</v>
      </c>
      <c r="L19" s="80">
        <f t="shared" si="9"/>
        <v>0</v>
      </c>
      <c r="M19" s="80">
        <f t="shared" si="9"/>
        <v>0</v>
      </c>
      <c r="N19" s="79"/>
      <c r="O19" s="80">
        <f>P19-C19</f>
        <v>0</v>
      </c>
      <c r="P19" s="80">
        <f>Assumption!B13+Assumption!B14</f>
        <v>0</v>
      </c>
      <c r="Q19" s="83">
        <v>1</v>
      </c>
    </row>
    <row r="20" spans="1:17" ht="15" hidden="1" customHeight="1" x14ac:dyDescent="0.25">
      <c r="A20" s="78" t="s">
        <v>166</v>
      </c>
      <c r="B20" s="79"/>
      <c r="C20" s="82" t="e">
        <f>C19/SUM(Assumption!$B$13:$B$14)</f>
        <v>#DIV/0!</v>
      </c>
      <c r="D20" s="82" t="e">
        <f>D19/SUM(Assumption!$B$13:$B$14)</f>
        <v>#DIV/0!</v>
      </c>
      <c r="E20" s="82" t="e">
        <f>E19/SUM(Assumption!$B$13:$B$14)</f>
        <v>#DIV/0!</v>
      </c>
      <c r="F20" s="82" t="e">
        <f>F19/SUM(Assumption!$B$13:$B$14)</f>
        <v>#DIV/0!</v>
      </c>
      <c r="G20" s="82" t="e">
        <f>G19/SUM(Assumption!$B$13:$B$14)</f>
        <v>#DIV/0!</v>
      </c>
      <c r="H20" s="82" t="e">
        <f>H19/SUM(Assumption!$B$13:$B$14)</f>
        <v>#DIV/0!</v>
      </c>
      <c r="I20" s="82" t="e">
        <f>I19/SUM(Assumption!$B$13:$B$14)</f>
        <v>#DIV/0!</v>
      </c>
      <c r="J20" s="82" t="e">
        <f>J19/SUM(Assumption!$B$13:$B$14)</f>
        <v>#DIV/0!</v>
      </c>
      <c r="K20" s="82" t="e">
        <f>K19/SUM(Assumption!$B$13:$B$14)</f>
        <v>#DIV/0!</v>
      </c>
      <c r="L20" s="82" t="e">
        <f>L19/SUM(Assumption!$B$13:$B$14)</f>
        <v>#DIV/0!</v>
      </c>
      <c r="M20" s="82" t="e">
        <f>M19/SUM(Assumption!$B$13:$B$14)</f>
        <v>#DIV/0!</v>
      </c>
      <c r="N20" s="79"/>
      <c r="O20" s="80"/>
      <c r="P20" s="80"/>
      <c r="Q20" s="83"/>
    </row>
    <row r="21" spans="1:17" ht="15" hidden="1" customHeight="1" x14ac:dyDescent="0.25">
      <c r="A21" s="78" t="s">
        <v>167</v>
      </c>
      <c r="B21" s="79"/>
      <c r="C21" s="80">
        <f>Assumption!D13</f>
        <v>0</v>
      </c>
      <c r="D21" s="80">
        <f t="shared" ref="D21:M21" si="10">C21*(1+$P$35)</f>
        <v>0</v>
      </c>
      <c r="E21" s="80">
        <f t="shared" si="10"/>
        <v>0</v>
      </c>
      <c r="F21" s="80">
        <f t="shared" si="10"/>
        <v>0</v>
      </c>
      <c r="G21" s="80">
        <f t="shared" si="10"/>
        <v>0</v>
      </c>
      <c r="H21" s="80">
        <f t="shared" si="10"/>
        <v>0</v>
      </c>
      <c r="I21" s="80">
        <f t="shared" si="10"/>
        <v>0</v>
      </c>
      <c r="J21" s="80">
        <f t="shared" si="10"/>
        <v>0</v>
      </c>
      <c r="K21" s="80">
        <f t="shared" si="10"/>
        <v>0</v>
      </c>
      <c r="L21" s="80">
        <f t="shared" si="10"/>
        <v>0</v>
      </c>
      <c r="M21" s="80">
        <f t="shared" si="10"/>
        <v>0</v>
      </c>
      <c r="N21" s="79"/>
      <c r="O21" s="80"/>
      <c r="P21" s="80"/>
      <c r="Q21" s="83"/>
    </row>
    <row r="22" spans="1:17" ht="15" hidden="1" customHeight="1" x14ac:dyDescent="0.25">
      <c r="A22" s="78" t="s">
        <v>168</v>
      </c>
      <c r="B22" s="79"/>
      <c r="C22" s="80"/>
      <c r="D22" s="82" t="e">
        <f>(D21-C21)/D21</f>
        <v>#DIV/0!</v>
      </c>
      <c r="E22" s="82" t="e">
        <f t="shared" ref="E22:M22" si="11">(E21-D21)/E21</f>
        <v>#DIV/0!</v>
      </c>
      <c r="F22" s="82" t="e">
        <f t="shared" si="11"/>
        <v>#DIV/0!</v>
      </c>
      <c r="G22" s="82" t="e">
        <f t="shared" si="11"/>
        <v>#DIV/0!</v>
      </c>
      <c r="H22" s="82" t="e">
        <f t="shared" si="11"/>
        <v>#DIV/0!</v>
      </c>
      <c r="I22" s="82" t="e">
        <f t="shared" si="11"/>
        <v>#DIV/0!</v>
      </c>
      <c r="J22" s="82" t="e">
        <f t="shared" si="11"/>
        <v>#DIV/0!</v>
      </c>
      <c r="K22" s="82" t="e">
        <f t="shared" si="11"/>
        <v>#DIV/0!</v>
      </c>
      <c r="L22" s="82" t="e">
        <f t="shared" si="11"/>
        <v>#DIV/0!</v>
      </c>
      <c r="M22" s="82" t="e">
        <f t="shared" si="11"/>
        <v>#DIV/0!</v>
      </c>
      <c r="N22" s="79"/>
      <c r="O22" s="80"/>
      <c r="P22" s="80"/>
      <c r="Q22" s="83"/>
    </row>
    <row r="23" spans="1:17" ht="15" hidden="1" customHeight="1" x14ac:dyDescent="0.25">
      <c r="A23" s="78"/>
      <c r="B23" s="79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79"/>
      <c r="O23" s="80"/>
      <c r="P23" s="80"/>
      <c r="Q23" s="83"/>
    </row>
    <row r="24" spans="1:17" ht="15" hidden="1" customHeight="1" x14ac:dyDescent="0.25">
      <c r="A24" s="78" t="s">
        <v>173</v>
      </c>
      <c r="B24" s="79"/>
      <c r="C24" s="80">
        <f>Assumption!B15</f>
        <v>0</v>
      </c>
      <c r="D24" s="80">
        <f>MIN($P24,C24+$Q24)</f>
        <v>0</v>
      </c>
      <c r="E24" s="80">
        <f>MIN($P24,D24+$Q24)</f>
        <v>0</v>
      </c>
      <c r="F24" s="80">
        <f>MIN($P24,E24+$Q24)</f>
        <v>0</v>
      </c>
      <c r="G24" s="80">
        <f>MIN($P24,F24+$Q24)</f>
        <v>0</v>
      </c>
      <c r="H24" s="80">
        <f t="shared" ref="H24:M24" si="12">MIN($P24,G24+$Q24)</f>
        <v>0</v>
      </c>
      <c r="I24" s="80">
        <f t="shared" si="12"/>
        <v>0</v>
      </c>
      <c r="J24" s="80">
        <f t="shared" si="12"/>
        <v>0</v>
      </c>
      <c r="K24" s="80">
        <f t="shared" si="12"/>
        <v>0</v>
      </c>
      <c r="L24" s="80">
        <f t="shared" si="12"/>
        <v>0</v>
      </c>
      <c r="M24" s="80">
        <f t="shared" si="12"/>
        <v>0</v>
      </c>
      <c r="N24" s="79"/>
      <c r="O24" s="80">
        <f>P24-C24</f>
        <v>0</v>
      </c>
      <c r="P24" s="80">
        <f>Assumption!B15+Assumption!B16</f>
        <v>0</v>
      </c>
      <c r="Q24" s="83">
        <v>1</v>
      </c>
    </row>
    <row r="25" spans="1:17" ht="15" hidden="1" customHeight="1" x14ac:dyDescent="0.25">
      <c r="A25" s="78" t="s">
        <v>166</v>
      </c>
      <c r="B25" s="79"/>
      <c r="C25" s="82" t="e">
        <f>C24/SUM(Assumption!$B$15:$B$16)</f>
        <v>#DIV/0!</v>
      </c>
      <c r="D25" s="82" t="e">
        <f>D24/SUM(Assumption!$B$15:$B$16)</f>
        <v>#DIV/0!</v>
      </c>
      <c r="E25" s="82" t="e">
        <f>E24/SUM(Assumption!$B$15:$B$16)</f>
        <v>#DIV/0!</v>
      </c>
      <c r="F25" s="82" t="e">
        <f>F24/SUM(Assumption!$B$15:$B$16)</f>
        <v>#DIV/0!</v>
      </c>
      <c r="G25" s="82" t="e">
        <f>G24/SUM(Assumption!$B$15:$B$16)</f>
        <v>#DIV/0!</v>
      </c>
      <c r="H25" s="82" t="e">
        <f>H24/SUM(Assumption!$B$15:$B$16)</f>
        <v>#DIV/0!</v>
      </c>
      <c r="I25" s="82" t="e">
        <f>I24/SUM(Assumption!$B$15:$B$16)</f>
        <v>#DIV/0!</v>
      </c>
      <c r="J25" s="82" t="e">
        <f>J24/SUM(Assumption!$B$15:$B$16)</f>
        <v>#DIV/0!</v>
      </c>
      <c r="K25" s="82" t="e">
        <f>K24/SUM(Assumption!$B$15:$B$16)</f>
        <v>#DIV/0!</v>
      </c>
      <c r="L25" s="82" t="e">
        <f>L24/SUM(Assumption!$B$15:$B$16)</f>
        <v>#DIV/0!</v>
      </c>
      <c r="M25" s="82" t="e">
        <f>M24/SUM(Assumption!$B$15:$B$16)</f>
        <v>#DIV/0!</v>
      </c>
      <c r="N25" s="79"/>
      <c r="O25" s="80"/>
      <c r="P25" s="80"/>
      <c r="Q25" s="83"/>
    </row>
    <row r="26" spans="1:17" ht="15" hidden="1" customHeight="1" x14ac:dyDescent="0.25">
      <c r="A26" s="78" t="s">
        <v>167</v>
      </c>
      <c r="B26" s="79"/>
      <c r="C26" s="80">
        <f>Assumption!D15</f>
        <v>0</v>
      </c>
      <c r="D26" s="80">
        <f t="shared" ref="D26:M26" si="13">C26*(1+$P$36)</f>
        <v>0</v>
      </c>
      <c r="E26" s="80">
        <f t="shared" si="13"/>
        <v>0</v>
      </c>
      <c r="F26" s="80">
        <f t="shared" si="13"/>
        <v>0</v>
      </c>
      <c r="G26" s="80">
        <f t="shared" si="13"/>
        <v>0</v>
      </c>
      <c r="H26" s="80">
        <f t="shared" si="13"/>
        <v>0</v>
      </c>
      <c r="I26" s="80">
        <f t="shared" si="13"/>
        <v>0</v>
      </c>
      <c r="J26" s="80">
        <f t="shared" si="13"/>
        <v>0</v>
      </c>
      <c r="K26" s="80">
        <f t="shared" si="13"/>
        <v>0</v>
      </c>
      <c r="L26" s="80">
        <f t="shared" si="13"/>
        <v>0</v>
      </c>
      <c r="M26" s="80">
        <f t="shared" si="13"/>
        <v>0</v>
      </c>
      <c r="N26" s="79"/>
      <c r="O26" s="80"/>
      <c r="P26" s="80"/>
      <c r="Q26" s="83"/>
    </row>
    <row r="27" spans="1:17" ht="15" hidden="1" customHeight="1" x14ac:dyDescent="0.25">
      <c r="A27" s="78" t="s">
        <v>168</v>
      </c>
      <c r="B27" s="79"/>
      <c r="C27" s="80"/>
      <c r="D27" s="82" t="e">
        <f>(D26-C26)/D26</f>
        <v>#DIV/0!</v>
      </c>
      <c r="E27" s="82" t="e">
        <f t="shared" ref="E27:M27" si="14">(E26-D26)/E26</f>
        <v>#DIV/0!</v>
      </c>
      <c r="F27" s="82" t="e">
        <f t="shared" si="14"/>
        <v>#DIV/0!</v>
      </c>
      <c r="G27" s="82" t="e">
        <f t="shared" si="14"/>
        <v>#DIV/0!</v>
      </c>
      <c r="H27" s="82" t="e">
        <f t="shared" si="14"/>
        <v>#DIV/0!</v>
      </c>
      <c r="I27" s="82" t="e">
        <f t="shared" si="14"/>
        <v>#DIV/0!</v>
      </c>
      <c r="J27" s="82" t="e">
        <f t="shared" si="14"/>
        <v>#DIV/0!</v>
      </c>
      <c r="K27" s="82" t="e">
        <f t="shared" si="14"/>
        <v>#DIV/0!</v>
      </c>
      <c r="L27" s="82" t="e">
        <f t="shared" si="14"/>
        <v>#DIV/0!</v>
      </c>
      <c r="M27" s="82" t="e">
        <f t="shared" si="14"/>
        <v>#DIV/0!</v>
      </c>
      <c r="N27" s="79"/>
      <c r="O27" s="80"/>
      <c r="P27" s="80"/>
      <c r="Q27" s="83"/>
    </row>
    <row r="28" spans="1:17" ht="9.9499999999999993" customHeight="1" x14ac:dyDescent="0.25">
      <c r="A28" s="78"/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79"/>
      <c r="O28" s="80"/>
      <c r="P28" s="80"/>
      <c r="Q28" s="83"/>
    </row>
    <row r="29" spans="1:17" ht="15" customHeight="1" x14ac:dyDescent="0.25">
      <c r="A29" s="53" t="s">
        <v>106</v>
      </c>
      <c r="C29" s="7">
        <f>C4+C9+C14+C19+C24</f>
        <v>46</v>
      </c>
      <c r="D29" s="7">
        <f t="shared" ref="D29:M29" si="15">D4+D9+D14+D19+D24</f>
        <v>48</v>
      </c>
      <c r="E29" s="7">
        <f t="shared" si="15"/>
        <v>50</v>
      </c>
      <c r="F29" s="7">
        <f t="shared" si="15"/>
        <v>52</v>
      </c>
      <c r="G29" s="7">
        <f t="shared" si="15"/>
        <v>54</v>
      </c>
      <c r="H29" s="7">
        <f t="shared" si="15"/>
        <v>56</v>
      </c>
      <c r="I29" s="7">
        <f t="shared" si="15"/>
        <v>58</v>
      </c>
      <c r="J29" s="7">
        <f t="shared" si="15"/>
        <v>60</v>
      </c>
      <c r="K29" s="7">
        <f t="shared" si="15"/>
        <v>62</v>
      </c>
      <c r="L29" s="7">
        <f t="shared" si="15"/>
        <v>62.2</v>
      </c>
      <c r="M29" s="7">
        <f t="shared" si="15"/>
        <v>62.2</v>
      </c>
      <c r="O29" s="7">
        <f>SUM(O4:O24)</f>
        <v>23</v>
      </c>
      <c r="P29" s="7">
        <f>SUM(P4:P24)</f>
        <v>69</v>
      </c>
    </row>
    <row r="31" spans="1:17" ht="23.25" customHeight="1" x14ac:dyDescent="0.25">
      <c r="A31" s="9" t="s">
        <v>107</v>
      </c>
      <c r="B31" s="9" t="s">
        <v>247</v>
      </c>
      <c r="C31" s="26" t="s">
        <v>255</v>
      </c>
      <c r="D31" s="26" t="s">
        <v>238</v>
      </c>
      <c r="E31" s="26" t="s">
        <v>239</v>
      </c>
      <c r="F31" s="26" t="s">
        <v>67</v>
      </c>
      <c r="G31" s="26" t="s">
        <v>68</v>
      </c>
      <c r="H31" s="26" t="s">
        <v>69</v>
      </c>
      <c r="I31" s="26" t="s">
        <v>70</v>
      </c>
      <c r="J31" s="26" t="s">
        <v>71</v>
      </c>
      <c r="K31" s="26" t="s">
        <v>72</v>
      </c>
      <c r="L31" s="26" t="s">
        <v>73</v>
      </c>
      <c r="M31" s="26" t="s">
        <v>74</v>
      </c>
      <c r="O31" s="9" t="s">
        <v>256</v>
      </c>
      <c r="P31" s="96" t="s">
        <v>249</v>
      </c>
    </row>
    <row r="32" spans="1:17" ht="15" customHeight="1" x14ac:dyDescent="0.25">
      <c r="A32" s="54" t="s">
        <v>161</v>
      </c>
      <c r="B32" s="12">
        <v>148500</v>
      </c>
      <c r="C32" s="150">
        <f>C4*C6*12</f>
        <v>148500</v>
      </c>
      <c r="D32" s="150">
        <f>D4*D6*12</f>
        <v>159753</v>
      </c>
      <c r="E32" s="150">
        <f t="shared" ref="E32:M32" si="16">E4*E6*12</f>
        <v>171547.53</v>
      </c>
      <c r="F32" s="150">
        <f t="shared" si="16"/>
        <v>183905.9541</v>
      </c>
      <c r="G32" s="150">
        <f t="shared" si="16"/>
        <v>196851.49086900003</v>
      </c>
      <c r="H32" s="150">
        <f t="shared" si="16"/>
        <v>210408.24448545006</v>
      </c>
      <c r="I32" s="150">
        <f t="shared" si="16"/>
        <v>224601.23697710497</v>
      </c>
      <c r="J32" s="150">
        <f t="shared" si="16"/>
        <v>239456.4415982223</v>
      </c>
      <c r="K32" s="150">
        <f t="shared" si="16"/>
        <v>255000.8173833272</v>
      </c>
      <c r="L32" s="150">
        <f t="shared" si="16"/>
        <v>263511.99220615433</v>
      </c>
      <c r="M32" s="150">
        <f t="shared" si="16"/>
        <v>271417.35197233898</v>
      </c>
      <c r="O32" s="65" t="str">
        <f>A32&amp;"Increased by "&amp;TEXT(P32,"0%")&amp;" annually"</f>
        <v>Lot Rent Increased by 3% annually</v>
      </c>
      <c r="P32" s="65">
        <v>0.03</v>
      </c>
    </row>
    <row r="33" spans="1:20" ht="15" customHeight="1" x14ac:dyDescent="0.25">
      <c r="A33" s="54" t="s">
        <v>162</v>
      </c>
      <c r="B33" s="12"/>
      <c r="C33" s="150">
        <f t="shared" ref="C33:M33" si="17">C9*C11</f>
        <v>500</v>
      </c>
      <c r="D33" s="150">
        <f t="shared" si="17"/>
        <v>515</v>
      </c>
      <c r="E33" s="150">
        <f t="shared" si="17"/>
        <v>530.45000000000005</v>
      </c>
      <c r="F33" s="150">
        <f t="shared" si="17"/>
        <v>546.36350000000004</v>
      </c>
      <c r="G33" s="150">
        <f t="shared" si="17"/>
        <v>562.75440500000002</v>
      </c>
      <c r="H33" s="150">
        <f t="shared" si="17"/>
        <v>579.63703715000008</v>
      </c>
      <c r="I33" s="150">
        <f t="shared" si="17"/>
        <v>597.02614826450008</v>
      </c>
      <c r="J33" s="150">
        <f t="shared" si="17"/>
        <v>614.93693271243512</v>
      </c>
      <c r="K33" s="150">
        <f t="shared" si="17"/>
        <v>633.38504069380815</v>
      </c>
      <c r="L33" s="150">
        <f t="shared" si="17"/>
        <v>652.38659191462239</v>
      </c>
      <c r="M33" s="150">
        <f t="shared" si="17"/>
        <v>671.95818967206105</v>
      </c>
      <c r="O33" s="65" t="str">
        <f t="shared" ref="O33:O36" si="18">A33&amp;"Increased by "&amp;TEXT(P33,"0%")&amp;" annually"</f>
        <v>Office Rent Increased by 3% annually</v>
      </c>
      <c r="P33" s="65">
        <v>0.03</v>
      </c>
    </row>
    <row r="34" spans="1:20" ht="15" hidden="1" customHeight="1" x14ac:dyDescent="0.25">
      <c r="A34" s="54" t="s">
        <v>163</v>
      </c>
      <c r="B34" s="12">
        <v>0</v>
      </c>
      <c r="C34" s="12">
        <f t="shared" ref="C34:C40" si="19">B34</f>
        <v>0</v>
      </c>
      <c r="D34" s="150">
        <f t="shared" ref="D34:M34" si="20">D14*D16</f>
        <v>0</v>
      </c>
      <c r="E34" s="150">
        <f t="shared" si="20"/>
        <v>0</v>
      </c>
      <c r="F34" s="150">
        <f t="shared" si="20"/>
        <v>0</v>
      </c>
      <c r="G34" s="150">
        <f t="shared" si="20"/>
        <v>0</v>
      </c>
      <c r="H34" s="150">
        <f t="shared" si="20"/>
        <v>0</v>
      </c>
      <c r="I34" s="150">
        <f t="shared" si="20"/>
        <v>0</v>
      </c>
      <c r="J34" s="150">
        <f t="shared" si="20"/>
        <v>0</v>
      </c>
      <c r="K34" s="150">
        <f t="shared" si="20"/>
        <v>0</v>
      </c>
      <c r="L34" s="150">
        <f t="shared" si="20"/>
        <v>0</v>
      </c>
      <c r="M34" s="150">
        <f t="shared" si="20"/>
        <v>0</v>
      </c>
      <c r="O34" s="65" t="str">
        <f t="shared" si="18"/>
        <v>Studio Rent Increased by 5% annually</v>
      </c>
      <c r="P34" s="65">
        <v>0.05</v>
      </c>
    </row>
    <row r="35" spans="1:20" ht="15" hidden="1" customHeight="1" x14ac:dyDescent="0.25">
      <c r="A35" s="54" t="s">
        <v>164</v>
      </c>
      <c r="B35" s="12">
        <v>0</v>
      </c>
      <c r="C35" s="12">
        <f t="shared" si="19"/>
        <v>0</v>
      </c>
      <c r="D35" s="150">
        <f t="shared" ref="D35:M35" si="21">D19*D21</f>
        <v>0</v>
      </c>
      <c r="E35" s="150">
        <f t="shared" si="21"/>
        <v>0</v>
      </c>
      <c r="F35" s="150">
        <f t="shared" si="21"/>
        <v>0</v>
      </c>
      <c r="G35" s="150">
        <f t="shared" si="21"/>
        <v>0</v>
      </c>
      <c r="H35" s="150">
        <f t="shared" si="21"/>
        <v>0</v>
      </c>
      <c r="I35" s="150">
        <f t="shared" si="21"/>
        <v>0</v>
      </c>
      <c r="J35" s="150">
        <f t="shared" si="21"/>
        <v>0</v>
      </c>
      <c r="K35" s="150">
        <f t="shared" si="21"/>
        <v>0</v>
      </c>
      <c r="L35" s="150">
        <f t="shared" si="21"/>
        <v>0</v>
      </c>
      <c r="M35" s="150">
        <f t="shared" si="21"/>
        <v>0</v>
      </c>
      <c r="O35" s="65" t="str">
        <f t="shared" si="18"/>
        <v>SFR Rent Increased by 5% annually</v>
      </c>
      <c r="P35" s="65">
        <v>0.05</v>
      </c>
    </row>
    <row r="36" spans="1:20" ht="15" hidden="1" customHeight="1" x14ac:dyDescent="0.25">
      <c r="A36" s="54" t="s">
        <v>165</v>
      </c>
      <c r="B36" s="12">
        <v>0</v>
      </c>
      <c r="C36" s="12">
        <f t="shared" si="19"/>
        <v>0</v>
      </c>
      <c r="D36" s="150">
        <f t="shared" ref="D36:M36" si="22">D24*D26</f>
        <v>0</v>
      </c>
      <c r="E36" s="150">
        <f t="shared" si="22"/>
        <v>0</v>
      </c>
      <c r="F36" s="150">
        <f t="shared" si="22"/>
        <v>0</v>
      </c>
      <c r="G36" s="150">
        <f t="shared" si="22"/>
        <v>0</v>
      </c>
      <c r="H36" s="150">
        <f t="shared" si="22"/>
        <v>0</v>
      </c>
      <c r="I36" s="150">
        <f t="shared" si="22"/>
        <v>0</v>
      </c>
      <c r="J36" s="150">
        <f t="shared" si="22"/>
        <v>0</v>
      </c>
      <c r="K36" s="150">
        <f t="shared" si="22"/>
        <v>0</v>
      </c>
      <c r="L36" s="150">
        <f t="shared" si="22"/>
        <v>0</v>
      </c>
      <c r="M36" s="150">
        <f t="shared" si="22"/>
        <v>0</v>
      </c>
      <c r="O36" s="65" t="str">
        <f t="shared" si="18"/>
        <v>SFH Rent Increased by 5% annually</v>
      </c>
      <c r="P36" s="65">
        <v>0.05</v>
      </c>
    </row>
    <row r="37" spans="1:20" ht="15" customHeight="1" x14ac:dyDescent="0.25">
      <c r="A37" s="54" t="s">
        <v>108</v>
      </c>
      <c r="B37" s="12"/>
      <c r="C37" s="150">
        <f t="shared" ref="C37:M37" si="23">(((C4-$P$4)*C6)+((C9-$P$9)*C11))+((C14-$P$14)*C16)+((C19-$P$19)*C21)+((C24-$P$24)*C26)</f>
        <v>-6325</v>
      </c>
      <c r="D37" s="150">
        <f t="shared" si="23"/>
        <v>-5948.25</v>
      </c>
      <c r="E37" s="150">
        <f t="shared" si="23"/>
        <v>-5543.2025000000003</v>
      </c>
      <c r="F37" s="150">
        <f t="shared" si="23"/>
        <v>-5108.4987250000004</v>
      </c>
      <c r="G37" s="150">
        <f t="shared" si="23"/>
        <v>-4642.723841250001</v>
      </c>
      <c r="H37" s="150">
        <f t="shared" si="23"/>
        <v>-4144.4048156225008</v>
      </c>
      <c r="I37" s="150">
        <f t="shared" si="23"/>
        <v>-3612.0081970002261</v>
      </c>
      <c r="J37" s="150">
        <f t="shared" si="23"/>
        <v>-3043.9378169265542</v>
      </c>
      <c r="K37" s="150">
        <f t="shared" si="23"/>
        <v>-2438.5324066711619</v>
      </c>
      <c r="L37" s="150">
        <f t="shared" si="23"/>
        <v>-2439.925853760687</v>
      </c>
      <c r="M37" s="150">
        <f t="shared" si="23"/>
        <v>-2513.1236293735078</v>
      </c>
      <c r="P37" s="155"/>
    </row>
    <row r="38" spans="1:20" ht="15" hidden="1" customHeight="1" x14ac:dyDescent="0.25">
      <c r="A38" s="54" t="s">
        <v>244</v>
      </c>
      <c r="B38" s="60">
        <v>0</v>
      </c>
      <c r="C38" s="12">
        <f t="shared" si="19"/>
        <v>0</v>
      </c>
      <c r="D38" s="151">
        <v>0</v>
      </c>
      <c r="E38" s="151">
        <v>0</v>
      </c>
      <c r="F38" s="151">
        <v>0</v>
      </c>
      <c r="G38" s="151">
        <v>0</v>
      </c>
      <c r="H38" s="151">
        <v>0</v>
      </c>
      <c r="I38" s="151">
        <v>0</v>
      </c>
      <c r="J38" s="151">
        <v>0</v>
      </c>
      <c r="K38" s="151">
        <v>0</v>
      </c>
      <c r="L38" s="151">
        <v>0</v>
      </c>
      <c r="M38" s="151">
        <v>0</v>
      </c>
      <c r="P38" s="72"/>
    </row>
    <row r="39" spans="1:20" ht="15" hidden="1" customHeight="1" x14ac:dyDescent="0.25">
      <c r="A39" s="54" t="s">
        <v>243</v>
      </c>
      <c r="B39" s="60">
        <v>0</v>
      </c>
      <c r="C39" s="12">
        <f t="shared" si="19"/>
        <v>0</v>
      </c>
      <c r="D39" s="151">
        <v>0</v>
      </c>
      <c r="E39" s="151">
        <v>0</v>
      </c>
      <c r="F39" s="151">
        <v>0</v>
      </c>
      <c r="G39" s="151">
        <v>0</v>
      </c>
      <c r="H39" s="151">
        <v>0</v>
      </c>
      <c r="I39" s="151">
        <v>0</v>
      </c>
      <c r="J39" s="151">
        <v>0</v>
      </c>
      <c r="K39" s="151">
        <v>0</v>
      </c>
      <c r="L39" s="151">
        <v>0</v>
      </c>
      <c r="M39" s="151">
        <v>0</v>
      </c>
      <c r="P39" s="72"/>
    </row>
    <row r="40" spans="1:20" ht="15" customHeight="1" x14ac:dyDescent="0.25">
      <c r="A40" s="54" t="s">
        <v>174</v>
      </c>
      <c r="B40" s="12">
        <v>13655</v>
      </c>
      <c r="C40" s="12">
        <f t="shared" si="19"/>
        <v>13655</v>
      </c>
      <c r="D40" s="150">
        <f t="shared" ref="D40:M40" si="24">D50*$P$40</f>
        <v>14961.130434782608</v>
      </c>
      <c r="E40" s="150">
        <f t="shared" si="24"/>
        <v>15584.510869565216</v>
      </c>
      <c r="F40" s="150">
        <f t="shared" si="24"/>
        <v>16207.891304347826</v>
      </c>
      <c r="G40" s="150">
        <f t="shared" si="24"/>
        <v>16831.271739130432</v>
      </c>
      <c r="H40" s="150">
        <f t="shared" si="24"/>
        <v>17454.652173913044</v>
      </c>
      <c r="I40" s="150">
        <f t="shared" si="24"/>
        <v>18078.032608695652</v>
      </c>
      <c r="J40" s="150">
        <f t="shared" si="24"/>
        <v>18701.413043478256</v>
      </c>
      <c r="K40" s="150">
        <f t="shared" si="24"/>
        <v>19324.793478260868</v>
      </c>
      <c r="L40" s="150">
        <f t="shared" si="24"/>
        <v>19387.131521739131</v>
      </c>
      <c r="M40" s="150">
        <f t="shared" si="24"/>
        <v>19387.131521739131</v>
      </c>
      <c r="O40" s="65" t="s">
        <v>185</v>
      </c>
      <c r="P40" s="156">
        <f>C40/B50</f>
        <v>0.97563589597027722</v>
      </c>
    </row>
    <row r="41" spans="1:20" ht="15" customHeight="1" x14ac:dyDescent="0.25">
      <c r="A41" s="54" t="s">
        <v>109</v>
      </c>
      <c r="B41" s="12"/>
      <c r="C41" s="150">
        <f t="shared" ref="C41:M41" si="25">-$P$41*(SUM(C32:C36)+C37+C38+C39)</f>
        <v>-2853.5</v>
      </c>
      <c r="D41" s="150">
        <f t="shared" si="25"/>
        <v>-3086.395</v>
      </c>
      <c r="E41" s="150">
        <f t="shared" si="25"/>
        <v>-3330.6955499999999</v>
      </c>
      <c r="F41" s="150">
        <f t="shared" si="25"/>
        <v>-3586.8763775000002</v>
      </c>
      <c r="G41" s="150">
        <f t="shared" si="25"/>
        <v>-3855.4304286550009</v>
      </c>
      <c r="H41" s="150">
        <f t="shared" si="25"/>
        <v>-4136.8695341395514</v>
      </c>
      <c r="I41" s="150">
        <f t="shared" si="25"/>
        <v>-4431.7250985673854</v>
      </c>
      <c r="J41" s="150">
        <f t="shared" si="25"/>
        <v>-4740.5488142801642</v>
      </c>
      <c r="K41" s="150">
        <f t="shared" si="25"/>
        <v>-5063.9134003469962</v>
      </c>
      <c r="L41" s="150">
        <f t="shared" si="25"/>
        <v>-5234.4890588861663</v>
      </c>
      <c r="M41" s="150">
        <f t="shared" si="25"/>
        <v>-5391.5237306527506</v>
      </c>
      <c r="O41" s="65" t="str">
        <f>"Assumed "&amp;TEXT(P41,"0%")</f>
        <v>Assumed 2%</v>
      </c>
      <c r="P41" s="65">
        <v>0.02</v>
      </c>
      <c r="Q41" s="3"/>
    </row>
    <row r="42" spans="1:20" ht="15" customHeight="1" x14ac:dyDescent="0.25">
      <c r="A42" s="55" t="s">
        <v>77</v>
      </c>
      <c r="B42" s="8">
        <f t="shared" ref="B42:M42" si="26">SUM(B32:B41)</f>
        <v>162155</v>
      </c>
      <c r="C42" s="8">
        <f t="shared" si="26"/>
        <v>153476.5</v>
      </c>
      <c r="D42" s="152">
        <f t="shared" si="26"/>
        <v>166194.4854347826</v>
      </c>
      <c r="E42" s="152">
        <f t="shared" si="26"/>
        <v>178788.59281956521</v>
      </c>
      <c r="F42" s="152">
        <f t="shared" si="26"/>
        <v>191964.83380184782</v>
      </c>
      <c r="G42" s="152">
        <f t="shared" si="26"/>
        <v>205747.36274322547</v>
      </c>
      <c r="H42" s="152">
        <f t="shared" si="26"/>
        <v>220161.25934675109</v>
      </c>
      <c r="I42" s="152">
        <f t="shared" si="26"/>
        <v>235232.56243849752</v>
      </c>
      <c r="J42" s="152">
        <f t="shared" si="26"/>
        <v>250988.30494320628</v>
      </c>
      <c r="K42" s="152">
        <f t="shared" si="26"/>
        <v>267456.55009526369</v>
      </c>
      <c r="L42" s="152">
        <f t="shared" si="26"/>
        <v>275877.09540716122</v>
      </c>
      <c r="M42" s="152">
        <f t="shared" si="26"/>
        <v>283571.79432372388</v>
      </c>
      <c r="P42" s="72"/>
    </row>
    <row r="43" spans="1:20" x14ac:dyDescent="0.25">
      <c r="A43" s="56"/>
      <c r="P43" s="63"/>
      <c r="Q43" s="64"/>
      <c r="R43" s="61"/>
    </row>
    <row r="44" spans="1:20" ht="23.25" customHeight="1" x14ac:dyDescent="0.25">
      <c r="A44" s="9" t="s">
        <v>110</v>
      </c>
      <c r="B44" s="26" t="s">
        <v>247</v>
      </c>
      <c r="C44" s="26" t="s">
        <v>255</v>
      </c>
      <c r="D44" s="26" t="s">
        <v>238</v>
      </c>
      <c r="E44" s="26" t="s">
        <v>239</v>
      </c>
      <c r="F44" s="26" t="s">
        <v>67</v>
      </c>
      <c r="G44" s="26" t="s">
        <v>68</v>
      </c>
      <c r="H44" s="26" t="s">
        <v>69</v>
      </c>
      <c r="I44" s="26" t="s">
        <v>70</v>
      </c>
      <c r="J44" s="26" t="s">
        <v>71</v>
      </c>
      <c r="K44" s="26" t="s">
        <v>72</v>
      </c>
      <c r="L44" s="26" t="s">
        <v>73</v>
      </c>
      <c r="M44" s="26" t="s">
        <v>74</v>
      </c>
      <c r="O44" s="9" t="s">
        <v>256</v>
      </c>
      <c r="P44" s="96" t="s">
        <v>249</v>
      </c>
      <c r="Q44" s="27"/>
      <c r="R44" s="27" t="s">
        <v>112</v>
      </c>
      <c r="S44" s="27" t="s">
        <v>113</v>
      </c>
    </row>
    <row r="45" spans="1:20" ht="15" customHeight="1" x14ac:dyDescent="0.25">
      <c r="A45" s="54" t="s">
        <v>114</v>
      </c>
      <c r="B45" s="29">
        <v>4764</v>
      </c>
      <c r="C45" s="29">
        <f>'Property Tax Working '!G10</f>
        <v>10810.800000000001</v>
      </c>
      <c r="D45" s="12">
        <f>C45*(1+$P45)</f>
        <v>11351.340000000002</v>
      </c>
      <c r="E45" s="12">
        <f t="shared" ref="E45:M45" si="27">D45*(1+$P45)</f>
        <v>11918.907000000003</v>
      </c>
      <c r="F45" s="12">
        <f t="shared" si="27"/>
        <v>12514.852350000003</v>
      </c>
      <c r="G45" s="12">
        <f t="shared" si="27"/>
        <v>13140.594967500003</v>
      </c>
      <c r="H45" s="12">
        <f t="shared" si="27"/>
        <v>13797.624715875003</v>
      </c>
      <c r="I45" s="12">
        <f t="shared" si="27"/>
        <v>14487.505951668754</v>
      </c>
      <c r="J45" s="12">
        <f t="shared" si="27"/>
        <v>15211.881249252192</v>
      </c>
      <c r="K45" s="12">
        <f t="shared" si="27"/>
        <v>15972.475311714803</v>
      </c>
      <c r="L45" s="12">
        <f t="shared" si="27"/>
        <v>16771.099077300543</v>
      </c>
      <c r="M45" s="12">
        <f t="shared" si="27"/>
        <v>17609.65403116557</v>
      </c>
      <c r="O45" s="65" t="s">
        <v>248</v>
      </c>
      <c r="P45" s="65">
        <v>0.05</v>
      </c>
      <c r="Q45" s="72"/>
      <c r="R45" s="72"/>
    </row>
    <row r="46" spans="1:20" ht="15" customHeight="1" x14ac:dyDescent="0.25">
      <c r="A46" s="54" t="s">
        <v>115</v>
      </c>
      <c r="B46" s="29">
        <v>4619</v>
      </c>
      <c r="C46" s="29">
        <f>B46</f>
        <v>4619</v>
      </c>
      <c r="D46" s="12">
        <f t="shared" ref="D46:M46" si="28">C46*(1+$P46)</f>
        <v>4757.57</v>
      </c>
      <c r="E46" s="12">
        <f t="shared" si="28"/>
        <v>4900.2970999999998</v>
      </c>
      <c r="F46" s="12">
        <f t="shared" si="28"/>
        <v>5047.3060130000003</v>
      </c>
      <c r="G46" s="12">
        <f t="shared" si="28"/>
        <v>5198.7251933900006</v>
      </c>
      <c r="H46" s="12">
        <f t="shared" si="28"/>
        <v>5354.6869491917005</v>
      </c>
      <c r="I46" s="12">
        <f t="shared" si="28"/>
        <v>5515.3275576674514</v>
      </c>
      <c r="J46" s="12">
        <f t="shared" si="28"/>
        <v>5680.7873843974749</v>
      </c>
      <c r="K46" s="12">
        <f t="shared" si="28"/>
        <v>5851.2110059293991</v>
      </c>
      <c r="L46" s="12">
        <f t="shared" si="28"/>
        <v>6026.7473361072816</v>
      </c>
      <c r="M46" s="12">
        <f t="shared" si="28"/>
        <v>6207.5497561905004</v>
      </c>
      <c r="O46" s="65" t="str">
        <f>IF(AND(B46=0,C46=0),"",IF(B46=C46,"Pro Forma Increased "&amp;TEXT($P46,"0%")&amp;" annually","Assumed "&amp;TEXT(Q46,"0%")))</f>
        <v>Pro Forma Increased 3% annually</v>
      </c>
      <c r="P46" s="65">
        <v>0.03</v>
      </c>
      <c r="Q46" s="65">
        <v>0.02</v>
      </c>
      <c r="R46" s="72"/>
    </row>
    <row r="47" spans="1:20" ht="15" customHeight="1" x14ac:dyDescent="0.25">
      <c r="A47" s="54" t="s">
        <v>175</v>
      </c>
      <c r="B47" s="29">
        <v>780</v>
      </c>
      <c r="C47" s="29">
        <f>B47</f>
        <v>780</v>
      </c>
      <c r="D47" s="12">
        <f t="shared" ref="D47:M47" si="29">C47*(1+$P47)</f>
        <v>803.4</v>
      </c>
      <c r="E47" s="12">
        <f t="shared" si="29"/>
        <v>827.50199999999995</v>
      </c>
      <c r="F47" s="12">
        <f t="shared" si="29"/>
        <v>852.32705999999996</v>
      </c>
      <c r="G47" s="12">
        <f t="shared" si="29"/>
        <v>877.89687179999999</v>
      </c>
      <c r="H47" s="12">
        <f t="shared" si="29"/>
        <v>904.23377795400006</v>
      </c>
      <c r="I47" s="12">
        <f t="shared" si="29"/>
        <v>931.36079129262009</v>
      </c>
      <c r="J47" s="12">
        <f t="shared" si="29"/>
        <v>959.30161503139868</v>
      </c>
      <c r="K47" s="12">
        <f t="shared" si="29"/>
        <v>988.0806634823407</v>
      </c>
      <c r="L47" s="12">
        <f t="shared" si="29"/>
        <v>1017.7230833868109</v>
      </c>
      <c r="M47" s="12">
        <f t="shared" si="29"/>
        <v>1048.2547758884152</v>
      </c>
      <c r="O47" s="65" t="str">
        <f>IF(AND(B47=0,C47=0),"",IF(B47=C47,"Pro Forma Increased "&amp;TEXT($P47,"0%")&amp;" annually",""))</f>
        <v>Pro Forma Increased 3% annually</v>
      </c>
      <c r="P47" s="65">
        <v>0.03</v>
      </c>
      <c r="Q47" s="72"/>
      <c r="R47" s="72"/>
    </row>
    <row r="48" spans="1:20" ht="15" hidden="1" customHeight="1" x14ac:dyDescent="0.25">
      <c r="A48" s="54" t="s">
        <v>176</v>
      </c>
      <c r="B48" s="12">
        <v>0</v>
      </c>
      <c r="C48" s="29">
        <f t="shared" ref="C48:C58" si="30">B48</f>
        <v>0</v>
      </c>
      <c r="D48" s="12">
        <f t="shared" ref="D48:M48" si="31">C48*(1+$P48)</f>
        <v>0</v>
      </c>
      <c r="E48" s="12">
        <f t="shared" si="31"/>
        <v>0</v>
      </c>
      <c r="F48" s="12">
        <f t="shared" si="31"/>
        <v>0</v>
      </c>
      <c r="G48" s="12">
        <f t="shared" si="31"/>
        <v>0</v>
      </c>
      <c r="H48" s="12">
        <f t="shared" si="31"/>
        <v>0</v>
      </c>
      <c r="I48" s="12">
        <f t="shared" si="31"/>
        <v>0</v>
      </c>
      <c r="J48" s="12">
        <f t="shared" si="31"/>
        <v>0</v>
      </c>
      <c r="K48" s="12">
        <f t="shared" si="31"/>
        <v>0</v>
      </c>
      <c r="L48" s="12">
        <f t="shared" si="31"/>
        <v>0</v>
      </c>
      <c r="M48" s="12">
        <f t="shared" si="31"/>
        <v>0</v>
      </c>
      <c r="O48" s="65" t="str">
        <f>IF(AND(B48=0,C48=0),"",IF(B48=C48,"Pro Forma Increased by "&amp;TEXT($P48,"0%")&amp;" annually",""))</f>
        <v/>
      </c>
      <c r="P48" s="65">
        <v>0.03</v>
      </c>
      <c r="Q48" s="157"/>
      <c r="R48" s="104"/>
      <c r="S48" s="12"/>
      <c r="T48" s="3"/>
    </row>
    <row r="49" spans="1:20" ht="15" customHeight="1" x14ac:dyDescent="0.25">
      <c r="A49" s="54" t="s">
        <v>268</v>
      </c>
      <c r="B49" s="12"/>
      <c r="C49" s="29">
        <f>C29*$Q$49*12</f>
        <v>2760</v>
      </c>
      <c r="D49" s="29">
        <f>(D29*$Q$49*12)*(1+$P$49)</f>
        <v>2966.4</v>
      </c>
      <c r="E49" s="29">
        <f t="shared" ref="E49:M49" si="32">(E29*$Q$49*12)*(1+$P$49)</f>
        <v>3090</v>
      </c>
      <c r="F49" s="29">
        <f t="shared" si="32"/>
        <v>3213.6</v>
      </c>
      <c r="G49" s="29">
        <f t="shared" si="32"/>
        <v>3337.2000000000003</v>
      </c>
      <c r="H49" s="29">
        <f t="shared" si="32"/>
        <v>3460.8</v>
      </c>
      <c r="I49" s="29">
        <f t="shared" si="32"/>
        <v>3584.4</v>
      </c>
      <c r="J49" s="29">
        <f t="shared" si="32"/>
        <v>3708</v>
      </c>
      <c r="K49" s="29">
        <f t="shared" si="32"/>
        <v>3831.6</v>
      </c>
      <c r="L49" s="29">
        <f t="shared" si="32"/>
        <v>3843.96</v>
      </c>
      <c r="M49" s="29">
        <f t="shared" si="32"/>
        <v>3843.96</v>
      </c>
      <c r="O49" s="65" t="str">
        <f>IF(AND(B49=0,C49=0),"",IF(B49=C49,"Pro Forma Increased by "&amp;TEXT($P49,"0%")&amp;" annually","Assumed $ "&amp;TEXT($Q49,"0")&amp;"/m/lot, increased "&amp;TEXT($P49,"0%")&amp;" annually"))</f>
        <v>Assumed $ 5/m/lot, increased 3% annually</v>
      </c>
      <c r="P49" s="65">
        <v>0.03</v>
      </c>
      <c r="Q49" s="157">
        <v>5</v>
      </c>
      <c r="R49" s="104"/>
      <c r="S49" s="12"/>
      <c r="T49" s="3"/>
    </row>
    <row r="50" spans="1:20" ht="15" customHeight="1" x14ac:dyDescent="0.25">
      <c r="A50" s="54" t="s">
        <v>177</v>
      </c>
      <c r="B50" s="12">
        <v>13996</v>
      </c>
      <c r="C50" s="29">
        <f>$R$50*C29*12</f>
        <v>13996</v>
      </c>
      <c r="D50" s="12">
        <f>$R$50*D29*12*(1+$P50)</f>
        <v>15334.747826086956</v>
      </c>
      <c r="E50" s="12">
        <f t="shared" ref="E50:M50" si="33">$R$50*E29*12*(1+$P50)</f>
        <v>15973.695652173912</v>
      </c>
      <c r="F50" s="12">
        <f>$R$50*F29*12*(1+$P50)</f>
        <v>16612.64347826087</v>
      </c>
      <c r="G50" s="12">
        <f t="shared" si="33"/>
        <v>17251.591304347825</v>
      </c>
      <c r="H50" s="12">
        <f t="shared" si="33"/>
        <v>17890.539130434783</v>
      </c>
      <c r="I50" s="12">
        <f t="shared" si="33"/>
        <v>18529.486956521738</v>
      </c>
      <c r="J50" s="12">
        <f t="shared" si="33"/>
        <v>19168.434782608692</v>
      </c>
      <c r="K50" s="12">
        <f t="shared" si="33"/>
        <v>19807.382608695651</v>
      </c>
      <c r="L50" s="12">
        <f t="shared" si="33"/>
        <v>19871.277391304349</v>
      </c>
      <c r="M50" s="12">
        <f t="shared" si="33"/>
        <v>19871.277391304349</v>
      </c>
      <c r="O50" s="65" t="str">
        <f>IF(AND(B50=0,C50=0),"",IF(B50=C50,"Pro Forma Increased by "&amp;TEXT($P50,"0%")&amp;" annually","Assumed $ "&amp;TEXT($Q50,"0")&amp;"/m/lot, increased "&amp;TEXT($P50,"0%")&amp;" annually"))</f>
        <v>Pro Forma Increased by 5% annually</v>
      </c>
      <c r="P50" s="65">
        <v>0.05</v>
      </c>
      <c r="Q50" s="157"/>
      <c r="R50" s="104">
        <f>B50/C29/12</f>
        <v>25.355072463768114</v>
      </c>
      <c r="S50" s="12"/>
      <c r="T50" s="3"/>
    </row>
    <row r="51" spans="1:20" ht="15" customHeight="1" x14ac:dyDescent="0.25">
      <c r="A51" s="54" t="s">
        <v>265</v>
      </c>
      <c r="B51" s="12">
        <v>1245</v>
      </c>
      <c r="C51" s="29">
        <f>$R$51*C29*12</f>
        <v>1245</v>
      </c>
      <c r="D51" s="29">
        <f>$R$51*D29*12*(1+$P$51)</f>
        <v>1364.0869565217395</v>
      </c>
      <c r="E51" s="29">
        <f t="shared" ref="E51:M51" si="34">$R$51*E29*12*(1+$P$51)</f>
        <v>1420.9239130434785</v>
      </c>
      <c r="F51" s="29">
        <f t="shared" si="34"/>
        <v>1477.7608695652177</v>
      </c>
      <c r="G51" s="29">
        <f t="shared" si="34"/>
        <v>1534.5978260869567</v>
      </c>
      <c r="H51" s="29">
        <f t="shared" si="34"/>
        <v>1591.4347826086957</v>
      </c>
      <c r="I51" s="29">
        <f t="shared" si="34"/>
        <v>1648.2717391304348</v>
      </c>
      <c r="J51" s="29">
        <f t="shared" si="34"/>
        <v>1705.1086956521742</v>
      </c>
      <c r="K51" s="29">
        <f t="shared" si="34"/>
        <v>1761.945652173913</v>
      </c>
      <c r="L51" s="29">
        <f t="shared" si="34"/>
        <v>1767.629347826087</v>
      </c>
      <c r="M51" s="29">
        <f t="shared" si="34"/>
        <v>1767.629347826087</v>
      </c>
      <c r="O51" s="65" t="str">
        <f>IF(AND(B51=0,C51=0),"",IF(B51=C51,"Pro Forma Increased by "&amp;TEXT($P51,"0%")&amp;" annually","Assumed $"&amp;TEXT($Q51,"0")&amp;"/m/lot, increased "&amp;TEXT($P51,"0%")&amp;" annually"))</f>
        <v>Pro Forma Increased by 5% annually</v>
      </c>
      <c r="P51" s="65">
        <v>0.05</v>
      </c>
      <c r="Q51" s="157"/>
      <c r="R51" s="104">
        <f>B51/C29/12</f>
        <v>2.2554347826086958</v>
      </c>
      <c r="S51" s="12"/>
      <c r="T51" s="3"/>
    </row>
    <row r="52" spans="1:20" ht="15" customHeight="1" x14ac:dyDescent="0.25">
      <c r="A52" s="54" t="s">
        <v>178</v>
      </c>
      <c r="B52" s="12">
        <v>8400</v>
      </c>
      <c r="C52" s="29">
        <f>$R$52*C29*12</f>
        <v>8400</v>
      </c>
      <c r="D52" s="12">
        <f>$R$52*D29*12*(1+$P52)</f>
        <v>9203.4782608695659</v>
      </c>
      <c r="E52" s="12">
        <f t="shared" ref="E52:M52" si="35">$R$52*E29*12*(1+$P52)</f>
        <v>9586.9565217391319</v>
      </c>
      <c r="F52" s="12">
        <f t="shared" si="35"/>
        <v>9970.434782608696</v>
      </c>
      <c r="G52" s="12">
        <f t="shared" si="35"/>
        <v>10353.913043478262</v>
      </c>
      <c r="H52" s="12">
        <f t="shared" si="35"/>
        <v>10737.391304347828</v>
      </c>
      <c r="I52" s="12">
        <f t="shared" si="35"/>
        <v>11120.86956521739</v>
      </c>
      <c r="J52" s="12">
        <f t="shared" si="35"/>
        <v>11504.347826086958</v>
      </c>
      <c r="K52" s="12">
        <f t="shared" si="35"/>
        <v>11887.826086956524</v>
      </c>
      <c r="L52" s="12">
        <f t="shared" si="35"/>
        <v>11926.17391304348</v>
      </c>
      <c r="M52" s="12">
        <f t="shared" si="35"/>
        <v>11926.17391304348</v>
      </c>
      <c r="O52" s="65" t="str">
        <f>IF(AND(B52=0,C52=0),"",IF(B52=C52,"Pro Forma Increased by "&amp;TEXT($P52,"0%")&amp;" annually","Assumed $ "&amp;TEXT($Q52,"0")&amp;"/m/lot, increased "&amp;TEXT($P52,"0%")&amp;" annually"))</f>
        <v>Pro Forma Increased by 5% annually</v>
      </c>
      <c r="P52" s="65">
        <v>0.05</v>
      </c>
      <c r="Q52" s="157"/>
      <c r="R52" s="104">
        <f>B52/12/C29</f>
        <v>15.217391304347826</v>
      </c>
      <c r="S52" s="12"/>
      <c r="T52" s="3"/>
    </row>
    <row r="53" spans="1:20" ht="15" hidden="1" customHeight="1" x14ac:dyDescent="0.25">
      <c r="A53" s="54" t="s">
        <v>179</v>
      </c>
      <c r="B53" s="12"/>
      <c r="C53" s="29">
        <f t="shared" si="30"/>
        <v>0</v>
      </c>
      <c r="D53" s="12">
        <f t="shared" ref="D53:M53" si="36">C53*(1+$P53)</f>
        <v>0</v>
      </c>
      <c r="E53" s="12">
        <f t="shared" si="36"/>
        <v>0</v>
      </c>
      <c r="F53" s="12">
        <f t="shared" si="36"/>
        <v>0</v>
      </c>
      <c r="G53" s="12">
        <f t="shared" si="36"/>
        <v>0</v>
      </c>
      <c r="H53" s="12">
        <f t="shared" si="36"/>
        <v>0</v>
      </c>
      <c r="I53" s="12">
        <f t="shared" si="36"/>
        <v>0</v>
      </c>
      <c r="J53" s="12">
        <f t="shared" si="36"/>
        <v>0</v>
      </c>
      <c r="K53" s="12">
        <f t="shared" si="36"/>
        <v>0</v>
      </c>
      <c r="L53" s="12">
        <f t="shared" si="36"/>
        <v>0</v>
      </c>
      <c r="M53" s="12">
        <f t="shared" si="36"/>
        <v>0</v>
      </c>
      <c r="N53" s="12"/>
      <c r="O53" s="65" t="str">
        <f>IF(AND(B53=0,C53=0),"",IF(B53=C53,"Pro Forma Increased by "&amp;TEXT($P53,"0%")&amp;" annually","Assumed $ "&amp;TEXT($Q53,"0")&amp;"/m/lot, increased "&amp;TEXT($P53,"0%")&amp;" annually"))</f>
        <v/>
      </c>
      <c r="P53" s="65">
        <v>0.03</v>
      </c>
      <c r="Q53" s="157"/>
      <c r="R53" s="104"/>
      <c r="S53" s="12"/>
      <c r="T53" s="3"/>
    </row>
    <row r="54" spans="1:20" ht="15" customHeight="1" x14ac:dyDescent="0.25">
      <c r="A54" s="54" t="s">
        <v>180</v>
      </c>
      <c r="B54" s="12"/>
      <c r="C54" s="29">
        <f>((C4*$Q$54)+(C9*$R$54))*12</f>
        <v>28200</v>
      </c>
      <c r="D54" s="29">
        <f>((D4*$Q$54)+(D9*$R$54))*12</f>
        <v>29400</v>
      </c>
      <c r="E54" s="29">
        <f t="shared" ref="E54:M54" si="37">((E4*$Q$54)+(E9*$R$54))*12</f>
        <v>30600</v>
      </c>
      <c r="F54" s="29">
        <f t="shared" si="37"/>
        <v>31800</v>
      </c>
      <c r="G54" s="29">
        <f t="shared" si="37"/>
        <v>33000</v>
      </c>
      <c r="H54" s="29">
        <f t="shared" si="37"/>
        <v>34200</v>
      </c>
      <c r="I54" s="29">
        <f t="shared" si="37"/>
        <v>35400</v>
      </c>
      <c r="J54" s="29">
        <f t="shared" si="37"/>
        <v>36600</v>
      </c>
      <c r="K54" s="29">
        <f t="shared" si="37"/>
        <v>37800</v>
      </c>
      <c r="L54" s="29">
        <f t="shared" si="37"/>
        <v>37920</v>
      </c>
      <c r="M54" s="29">
        <f t="shared" si="37"/>
        <v>37920</v>
      </c>
      <c r="O54" s="65" t="str">
        <f>IF(AND(B54=0,C54=0),"",IF(B54=C54,"Pro Forma Increased by "&amp;TEXT($P$54,"0%"),"Assumed $"&amp;TEXT($Q$54,"0")&amp;"/Lot and "&amp;TEXT($R$54,"0")&amp;"/Structure, Increased by "&amp;TEXT($P$54,"0%")&amp;" annually"))</f>
        <v>Assumed $50/Lot and 100/Structure, Increased by 3% annually</v>
      </c>
      <c r="P54" s="65">
        <v>0.03</v>
      </c>
      <c r="Q54" s="157">
        <v>50</v>
      </c>
      <c r="R54" s="157">
        <v>100</v>
      </c>
      <c r="S54" s="12"/>
      <c r="T54" s="3"/>
    </row>
    <row r="55" spans="1:20" ht="15" customHeight="1" x14ac:dyDescent="0.25">
      <c r="A55" s="54" t="s">
        <v>181</v>
      </c>
      <c r="B55" s="12">
        <v>750</v>
      </c>
      <c r="C55" s="29">
        <f>B55</f>
        <v>750</v>
      </c>
      <c r="D55" s="12">
        <f t="shared" ref="D55:M55" si="38">C55*(1+$P55)</f>
        <v>772.5</v>
      </c>
      <c r="E55" s="12">
        <f t="shared" si="38"/>
        <v>795.67500000000007</v>
      </c>
      <c r="F55" s="12">
        <f t="shared" si="38"/>
        <v>819.54525000000012</v>
      </c>
      <c r="G55" s="12">
        <f t="shared" si="38"/>
        <v>844.1316075000002</v>
      </c>
      <c r="H55" s="12">
        <f t="shared" si="38"/>
        <v>869.45555572500018</v>
      </c>
      <c r="I55" s="12">
        <f t="shared" si="38"/>
        <v>895.53922239675023</v>
      </c>
      <c r="J55" s="12">
        <f t="shared" si="38"/>
        <v>922.40539906865274</v>
      </c>
      <c r="K55" s="12">
        <f t="shared" si="38"/>
        <v>950.07756104071234</v>
      </c>
      <c r="L55" s="12">
        <f t="shared" si="38"/>
        <v>978.57988787193369</v>
      </c>
      <c r="M55" s="12">
        <f t="shared" si="38"/>
        <v>1007.9372845080917</v>
      </c>
      <c r="O55" s="65" t="str">
        <f>IF(AND(B55=0,C55=0),"",IF(B55=C55,"Pro Forma Increased by "&amp;TEXT($P55,"0%")&amp;" annually",""))</f>
        <v>Pro Forma Increased by 3% annually</v>
      </c>
      <c r="P55" s="65">
        <v>0.03</v>
      </c>
      <c r="Q55" s="29"/>
      <c r="R55" s="29"/>
      <c r="S55" s="12"/>
      <c r="T55" s="3"/>
    </row>
    <row r="56" spans="1:20" ht="15" hidden="1" customHeight="1" x14ac:dyDescent="0.25">
      <c r="A56" s="54" t="s">
        <v>182</v>
      </c>
      <c r="B56" s="12"/>
      <c r="C56" s="29">
        <f>B56</f>
        <v>0</v>
      </c>
      <c r="D56" s="12">
        <f t="shared" ref="D56:M56" si="39">C56*(1+$P56)</f>
        <v>0</v>
      </c>
      <c r="E56" s="12">
        <f t="shared" si="39"/>
        <v>0</v>
      </c>
      <c r="F56" s="12">
        <f t="shared" si="39"/>
        <v>0</v>
      </c>
      <c r="G56" s="12">
        <f t="shared" si="39"/>
        <v>0</v>
      </c>
      <c r="H56" s="12">
        <f t="shared" si="39"/>
        <v>0</v>
      </c>
      <c r="I56" s="12">
        <f t="shared" si="39"/>
        <v>0</v>
      </c>
      <c r="J56" s="12">
        <f t="shared" si="39"/>
        <v>0</v>
      </c>
      <c r="K56" s="12">
        <f t="shared" si="39"/>
        <v>0</v>
      </c>
      <c r="L56" s="12">
        <f t="shared" si="39"/>
        <v>0</v>
      </c>
      <c r="M56" s="12">
        <f t="shared" si="39"/>
        <v>0</v>
      </c>
      <c r="O56" s="65" t="str">
        <f>IF(AND(B56=0,C56=0),"",IF(B56=C56,"Pro Forma Increased by "&amp;TEXT($P56,"0%")&amp;" annually",""))</f>
        <v/>
      </c>
      <c r="P56" s="65">
        <v>0.03</v>
      </c>
      <c r="Q56" s="29"/>
      <c r="R56" s="29"/>
      <c r="S56" s="12"/>
      <c r="T56" s="3"/>
    </row>
    <row r="57" spans="1:20" ht="15" customHeight="1" x14ac:dyDescent="0.25">
      <c r="A57" s="54" t="s">
        <v>183</v>
      </c>
      <c r="B57" s="12"/>
      <c r="C57" s="29">
        <f>Q57*12</f>
        <v>1200</v>
      </c>
      <c r="D57" s="12">
        <f t="shared" ref="D57:M57" si="40">C57*(1+$P57)</f>
        <v>1236</v>
      </c>
      <c r="E57" s="12">
        <f t="shared" si="40"/>
        <v>1273.08</v>
      </c>
      <c r="F57" s="12">
        <f t="shared" si="40"/>
        <v>1311.2724000000001</v>
      </c>
      <c r="G57" s="12">
        <f t="shared" si="40"/>
        <v>1350.610572</v>
      </c>
      <c r="H57" s="12">
        <f t="shared" si="40"/>
        <v>1391.12888916</v>
      </c>
      <c r="I57" s="12">
        <f t="shared" si="40"/>
        <v>1432.8627558348001</v>
      </c>
      <c r="J57" s="12">
        <f t="shared" si="40"/>
        <v>1475.848638509844</v>
      </c>
      <c r="K57" s="12">
        <f t="shared" si="40"/>
        <v>1520.1240976651393</v>
      </c>
      <c r="L57" s="12">
        <f t="shared" si="40"/>
        <v>1565.7278205950936</v>
      </c>
      <c r="M57" s="12">
        <f t="shared" si="40"/>
        <v>1612.6996552129465</v>
      </c>
      <c r="O57" s="65" t="str">
        <f>IF(AND(B57=0,C57=0),"",IF(B57=C57,"Pro Forma Increased by "&amp;TEXT($P57,"0%")&amp;" annually","Assumed $"&amp;TEXT(Q57,"0")&amp;"/month"))</f>
        <v>Assumed $100/month</v>
      </c>
      <c r="P57" s="65">
        <v>0.03</v>
      </c>
      <c r="Q57" s="157">
        <v>100</v>
      </c>
      <c r="R57" s="158"/>
      <c r="S57" s="12"/>
      <c r="T57" s="3"/>
    </row>
    <row r="58" spans="1:20" ht="15" hidden="1" customHeight="1" x14ac:dyDescent="0.25">
      <c r="A58" s="54" t="s">
        <v>184</v>
      </c>
      <c r="B58" s="12"/>
      <c r="C58" s="29">
        <f t="shared" si="30"/>
        <v>0</v>
      </c>
      <c r="D58" s="12">
        <f t="shared" ref="D58:M58" si="41">C58*(1+$P58)</f>
        <v>0</v>
      </c>
      <c r="E58" s="12">
        <f t="shared" si="41"/>
        <v>0</v>
      </c>
      <c r="F58" s="12">
        <f t="shared" si="41"/>
        <v>0</v>
      </c>
      <c r="G58" s="12">
        <f t="shared" si="41"/>
        <v>0</v>
      </c>
      <c r="H58" s="12">
        <f t="shared" si="41"/>
        <v>0</v>
      </c>
      <c r="I58" s="12">
        <f t="shared" si="41"/>
        <v>0</v>
      </c>
      <c r="J58" s="12">
        <f t="shared" si="41"/>
        <v>0</v>
      </c>
      <c r="K58" s="12">
        <f t="shared" si="41"/>
        <v>0</v>
      </c>
      <c r="L58" s="12">
        <f t="shared" si="41"/>
        <v>0</v>
      </c>
      <c r="M58" s="12">
        <f t="shared" si="41"/>
        <v>0</v>
      </c>
      <c r="O58" s="65" t="str">
        <f>IF(AND(B58=0,C58=0),"",IF(B58=C58,"Pro Forma Increased by "&amp;TEXT($P58,"0%")&amp;" annually",""))</f>
        <v/>
      </c>
      <c r="P58" s="65">
        <v>0.03</v>
      </c>
      <c r="Q58" s="158"/>
      <c r="R58" s="158"/>
      <c r="S58" s="12"/>
      <c r="T58" s="3"/>
    </row>
    <row r="59" spans="1:20" ht="15" customHeight="1" x14ac:dyDescent="0.25">
      <c r="A59" s="54" t="s">
        <v>116</v>
      </c>
      <c r="B59" s="12">
        <v>13608</v>
      </c>
      <c r="C59" s="29">
        <f>C42*$P$59</f>
        <v>7673.8250000000007</v>
      </c>
      <c r="D59" s="29">
        <f t="shared" ref="D59:M59" si="42">D42*$P$59</f>
        <v>8309.7242717391309</v>
      </c>
      <c r="E59" s="29">
        <f t="shared" si="42"/>
        <v>8939.4296409782601</v>
      </c>
      <c r="F59" s="29">
        <f t="shared" si="42"/>
        <v>9598.2416900923909</v>
      </c>
      <c r="G59" s="29">
        <f t="shared" si="42"/>
        <v>10287.368137161275</v>
      </c>
      <c r="H59" s="29">
        <f t="shared" si="42"/>
        <v>11008.062967337555</v>
      </c>
      <c r="I59" s="29">
        <f t="shared" si="42"/>
        <v>11761.628121924878</v>
      </c>
      <c r="J59" s="29">
        <f t="shared" si="42"/>
        <v>12549.415247160316</v>
      </c>
      <c r="K59" s="29">
        <f t="shared" si="42"/>
        <v>13372.827504763185</v>
      </c>
      <c r="L59" s="29">
        <f t="shared" si="42"/>
        <v>13793.854770358063</v>
      </c>
      <c r="M59" s="29">
        <f t="shared" si="42"/>
        <v>14178.589716186194</v>
      </c>
      <c r="O59" s="65" t="str">
        <f>"Assumed "&amp;TEXT($P$59,"0%")&amp;" of revenue"</f>
        <v>Assumed 5% of revenue</v>
      </c>
      <c r="P59" s="65">
        <v>0.05</v>
      </c>
      <c r="Q59" s="72"/>
      <c r="R59" s="72"/>
      <c r="T59" s="3"/>
    </row>
    <row r="60" spans="1:20" ht="15" customHeight="1" x14ac:dyDescent="0.25">
      <c r="A60" s="55" t="s">
        <v>80</v>
      </c>
      <c r="B60" s="8">
        <f t="shared" ref="B60:M60" si="43">SUM(B45:B59)</f>
        <v>48162</v>
      </c>
      <c r="C60" s="8">
        <f t="shared" si="43"/>
        <v>80434.625</v>
      </c>
      <c r="D60" s="8">
        <f t="shared" si="43"/>
        <v>85499.247315217392</v>
      </c>
      <c r="E60" s="8">
        <f t="shared" si="43"/>
        <v>89326.466827934782</v>
      </c>
      <c r="F60" s="8">
        <f t="shared" si="43"/>
        <v>93217.983893527155</v>
      </c>
      <c r="G60" s="8">
        <f t="shared" si="43"/>
        <v>97176.629523264346</v>
      </c>
      <c r="H60" s="8">
        <f t="shared" si="43"/>
        <v>101205.35807263455</v>
      </c>
      <c r="I60" s="8">
        <f t="shared" si="43"/>
        <v>105307.25266165481</v>
      </c>
      <c r="J60" s="8">
        <f t="shared" si="43"/>
        <v>109485.53083776771</v>
      </c>
      <c r="K60" s="8">
        <f t="shared" si="43"/>
        <v>113743.55049242168</v>
      </c>
      <c r="L60" s="8">
        <f t="shared" si="43"/>
        <v>115482.77262779366</v>
      </c>
      <c r="M60" s="8">
        <f t="shared" si="43"/>
        <v>116993.72587132563</v>
      </c>
    </row>
    <row r="61" spans="1:20" ht="15" customHeight="1" x14ac:dyDescent="0.25">
      <c r="A61" s="57" t="s">
        <v>117</v>
      </c>
      <c r="B61" s="14">
        <f t="shared" ref="B61:M61" si="44">B42-B60</f>
        <v>113993</v>
      </c>
      <c r="C61" s="14">
        <f t="shared" si="44"/>
        <v>73041.875</v>
      </c>
      <c r="D61" s="14">
        <f t="shared" si="44"/>
        <v>80695.238119565212</v>
      </c>
      <c r="E61" s="14">
        <f t="shared" si="44"/>
        <v>89462.125991630426</v>
      </c>
      <c r="F61" s="14">
        <f t="shared" si="44"/>
        <v>98746.84990832067</v>
      </c>
      <c r="G61" s="14">
        <f t="shared" si="44"/>
        <v>108570.73321996113</v>
      </c>
      <c r="H61" s="14">
        <f t="shared" si="44"/>
        <v>118955.90127411654</v>
      </c>
      <c r="I61" s="14">
        <f t="shared" si="44"/>
        <v>129925.30977684271</v>
      </c>
      <c r="J61" s="14">
        <f t="shared" si="44"/>
        <v>141502.77410543856</v>
      </c>
      <c r="K61" s="14">
        <f t="shared" si="44"/>
        <v>153712.99960284203</v>
      </c>
      <c r="L61" s="14">
        <f t="shared" si="44"/>
        <v>160394.32277936756</v>
      </c>
      <c r="M61" s="14">
        <f t="shared" si="44"/>
        <v>166578.06845239823</v>
      </c>
    </row>
    <row r="62" spans="1:20" x14ac:dyDescent="0.25">
      <c r="A62" s="58" t="s">
        <v>146</v>
      </c>
      <c r="B62" s="23">
        <f>B60/C42</f>
        <v>0.31380699976869425</v>
      </c>
      <c r="C62" s="23">
        <f t="shared" ref="C62:M62" si="45">C60/C42</f>
        <v>0.524084306066401</v>
      </c>
      <c r="D62" s="23">
        <f t="shared" si="45"/>
        <v>0.514452974125719</v>
      </c>
      <c r="E62" s="23">
        <f t="shared" si="45"/>
        <v>0.4996206157183849</v>
      </c>
      <c r="F62" s="23">
        <f t="shared" si="45"/>
        <v>0.48559927382194235</v>
      </c>
      <c r="G62" s="23">
        <f t="shared" si="45"/>
        <v>0.47231045019294676</v>
      </c>
      <c r="H62" s="23">
        <f t="shared" si="45"/>
        <v>0.45968740537242953</v>
      </c>
      <c r="I62" s="23">
        <f t="shared" si="45"/>
        <v>0.44767293936692037</v>
      </c>
      <c r="J62" s="23">
        <f t="shared" si="45"/>
        <v>0.43621765907595628</v>
      </c>
      <c r="K62" s="23">
        <f t="shared" si="45"/>
        <v>0.4252786123649171</v>
      </c>
      <c r="L62" s="23">
        <f t="shared" si="45"/>
        <v>0.41860224915502703</v>
      </c>
      <c r="M62" s="23">
        <f t="shared" si="45"/>
        <v>0.41257180090967116</v>
      </c>
    </row>
    <row r="64" spans="1:20" x14ac:dyDescent="0.25">
      <c r="A64" s="159"/>
    </row>
    <row r="65" spans="1:1" x14ac:dyDescent="0.25">
      <c r="A65" s="2"/>
    </row>
  </sheetData>
  <phoneticPr fontId="27" type="noConversion"/>
  <pageMargins left="0.75" right="0.75" top="1" bottom="1" header="0.511811023622047" footer="0.511811023622047"/>
  <pageSetup paperSize="9" orientation="portrait" horizontalDpi="300" verticalDpi="300" r:id="rId1"/>
  <ignoredErrors>
    <ignoredError sqref="C55:D57 O51:O56 O57:O59 C49:M49 C54 D54:M5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3B7E-F55A-4CD0-89A5-5A09B9D1A298}">
  <dimension ref="A1:S37"/>
  <sheetViews>
    <sheetView showGridLines="0" topLeftCell="A4" zoomScaleNormal="100" workbookViewId="0">
      <selection activeCell="A27" sqref="A27"/>
    </sheetView>
  </sheetViews>
  <sheetFormatPr defaultColWidth="8.7109375" defaultRowHeight="15" outlineLevelCol="1" x14ac:dyDescent="0.25"/>
  <cols>
    <col min="1" max="1" width="25.140625" customWidth="1"/>
    <col min="2" max="2" width="10.140625" customWidth="1"/>
    <col min="3" max="3" width="15" customWidth="1"/>
    <col min="4" max="8" width="13" customWidth="1"/>
    <col min="9" max="13" width="13" customWidth="1" outlineLevel="1"/>
    <col min="14" max="14" width="6" bestFit="1" customWidth="1"/>
    <col min="15" max="15" width="29.28515625" customWidth="1"/>
    <col min="16" max="16" width="7.7109375" customWidth="1"/>
    <col min="17" max="17" width="9.7109375" customWidth="1"/>
    <col min="18" max="18" width="13" customWidth="1"/>
    <col min="19" max="19" width="60" customWidth="1"/>
  </cols>
  <sheetData>
    <row r="1" spans="1:17" ht="24.95" customHeight="1" x14ac:dyDescent="0.3">
      <c r="A1" s="86" t="s">
        <v>254</v>
      </c>
      <c r="B1" s="1"/>
      <c r="N1" s="161"/>
    </row>
    <row r="2" spans="1:17" ht="23.25" customHeight="1" x14ac:dyDescent="0.25">
      <c r="A2" s="9" t="s">
        <v>102</v>
      </c>
      <c r="B2" s="9"/>
      <c r="C2" s="26" t="s">
        <v>245</v>
      </c>
      <c r="D2" s="26" t="s">
        <v>238</v>
      </c>
      <c r="E2" s="26" t="s">
        <v>239</v>
      </c>
      <c r="F2" s="26" t="s">
        <v>67</v>
      </c>
      <c r="G2" s="26" t="s">
        <v>68</v>
      </c>
      <c r="H2" s="26" t="s">
        <v>69</v>
      </c>
      <c r="I2" s="26" t="s">
        <v>70</v>
      </c>
      <c r="J2" s="26" t="s">
        <v>71</v>
      </c>
      <c r="K2" s="26" t="s">
        <v>72</v>
      </c>
      <c r="L2" s="26" t="s">
        <v>73</v>
      </c>
      <c r="M2" s="26" t="s">
        <v>74</v>
      </c>
      <c r="O2" s="9" t="s">
        <v>103</v>
      </c>
      <c r="P2" s="9" t="s">
        <v>104</v>
      </c>
      <c r="Q2" s="9" t="s">
        <v>105</v>
      </c>
    </row>
    <row r="3" spans="1:17" ht="9.9499999999999993" customHeight="1" x14ac:dyDescent="0.25">
      <c r="A3" s="27"/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O3" s="27"/>
      <c r="P3" s="27"/>
      <c r="Q3" s="27"/>
    </row>
    <row r="4" spans="1:17" ht="15" customHeight="1" x14ac:dyDescent="0.25">
      <c r="A4" s="87" t="s">
        <v>186</v>
      </c>
      <c r="B4" s="84"/>
      <c r="C4" s="80">
        <f>Assumption!B7</f>
        <v>8</v>
      </c>
      <c r="D4" s="80">
        <f>MIN(C4+$Q4,$P$4*95%)</f>
        <v>8.8000000000000007</v>
      </c>
      <c r="E4" s="80">
        <f t="shared" ref="E4:M4" si="0">MIN(D4+$Q4,$P$4*95%)</f>
        <v>9.6000000000000014</v>
      </c>
      <c r="F4" s="80">
        <f t="shared" si="0"/>
        <v>10.400000000000002</v>
      </c>
      <c r="G4" s="80">
        <f t="shared" si="0"/>
        <v>11.200000000000003</v>
      </c>
      <c r="H4" s="80">
        <f t="shared" si="0"/>
        <v>12.000000000000004</v>
      </c>
      <c r="I4" s="80">
        <f t="shared" si="0"/>
        <v>12.800000000000004</v>
      </c>
      <c r="J4" s="80">
        <f t="shared" si="0"/>
        <v>13.600000000000005</v>
      </c>
      <c r="K4" s="80">
        <f t="shared" si="0"/>
        <v>14.400000000000006</v>
      </c>
      <c r="L4" s="80">
        <f t="shared" si="0"/>
        <v>15.200000000000006</v>
      </c>
      <c r="M4" s="80">
        <f t="shared" si="0"/>
        <v>16.000000000000007</v>
      </c>
      <c r="N4" s="79"/>
      <c r="O4" s="80">
        <f>P4-C4</f>
        <v>9</v>
      </c>
      <c r="P4" s="80">
        <f>SUM(Assumption!B7:B8)</f>
        <v>17</v>
      </c>
      <c r="Q4" s="81">
        <v>0.8</v>
      </c>
    </row>
    <row r="5" spans="1:17" ht="15" customHeight="1" x14ac:dyDescent="0.25">
      <c r="A5" s="87" t="s">
        <v>166</v>
      </c>
      <c r="B5" s="84"/>
      <c r="C5" s="82">
        <f>C4/SUM(Assumption!$B$7:$B$8)</f>
        <v>0.47058823529411764</v>
      </c>
      <c r="D5" s="82">
        <f>D4/SUM(Assumption!$B$7:$B$8)</f>
        <v>0.51764705882352946</v>
      </c>
      <c r="E5" s="82">
        <f>E4/SUM(Assumption!$B$7:$B$8)</f>
        <v>0.56470588235294128</v>
      </c>
      <c r="F5" s="82">
        <f>F4/SUM(Assumption!$B$7:$B$8)</f>
        <v>0.6117647058823531</v>
      </c>
      <c r="G5" s="82">
        <f>G4/SUM(Assumption!$B$7:$B$8)</f>
        <v>0.65882352941176492</v>
      </c>
      <c r="H5" s="82">
        <f>H4/SUM(Assumption!$B$7:$B$8)</f>
        <v>0.70588235294117663</v>
      </c>
      <c r="I5" s="82">
        <f>I4/SUM(Assumption!$B$7:$B$8)</f>
        <v>0.75294117647058845</v>
      </c>
      <c r="J5" s="82">
        <f>J4/SUM(Assumption!$B$7:$B$8)</f>
        <v>0.80000000000000027</v>
      </c>
      <c r="K5" s="82">
        <f>K4/SUM(Assumption!$B$7:$B$8)</f>
        <v>0.84705882352941209</v>
      </c>
      <c r="L5" s="82">
        <f>L4/SUM(Assumption!$B$7:$B$8)</f>
        <v>0.89411764705882391</v>
      </c>
      <c r="M5" s="82">
        <f>M4/SUM(Assumption!$B$7:$B$8)</f>
        <v>0.94117647058823573</v>
      </c>
      <c r="N5" s="82"/>
      <c r="O5" s="80"/>
      <c r="P5" s="80"/>
      <c r="Q5" s="83"/>
    </row>
    <row r="6" spans="1:17" ht="15" customHeight="1" x14ac:dyDescent="0.25">
      <c r="A6" s="87" t="s">
        <v>192</v>
      </c>
      <c r="B6" s="84"/>
      <c r="C6" s="80">
        <f>Assumption!D7</f>
        <v>228.125</v>
      </c>
      <c r="D6" s="80">
        <f t="shared" ref="D6:M6" si="1">C6*(1+$P$17)</f>
        <v>232.6875</v>
      </c>
      <c r="E6" s="80">
        <f t="shared" si="1"/>
        <v>237.34125</v>
      </c>
      <c r="F6" s="80">
        <f t="shared" si="1"/>
        <v>242.088075</v>
      </c>
      <c r="G6" s="80">
        <f t="shared" si="1"/>
        <v>246.92983650000002</v>
      </c>
      <c r="H6" s="80">
        <f t="shared" si="1"/>
        <v>251.86843323000002</v>
      </c>
      <c r="I6" s="80">
        <f t="shared" si="1"/>
        <v>256.90580189460002</v>
      </c>
      <c r="J6" s="80">
        <f t="shared" si="1"/>
        <v>262.04391793249204</v>
      </c>
      <c r="K6" s="80">
        <f t="shared" si="1"/>
        <v>267.2847962911419</v>
      </c>
      <c r="L6" s="80">
        <f t="shared" si="1"/>
        <v>272.63049221696474</v>
      </c>
      <c r="M6" s="80">
        <f t="shared" si="1"/>
        <v>278.08310206130403</v>
      </c>
      <c r="N6" s="79"/>
      <c r="O6" s="80"/>
      <c r="P6" s="80"/>
      <c r="Q6" s="83"/>
    </row>
    <row r="7" spans="1:17" ht="15" customHeight="1" x14ac:dyDescent="0.25">
      <c r="A7" s="87" t="s">
        <v>168</v>
      </c>
      <c r="B7" s="84"/>
      <c r="C7" s="80"/>
      <c r="D7" s="82">
        <f>(D6-C6)/D6</f>
        <v>1.9607843137254902E-2</v>
      </c>
      <c r="E7" s="82">
        <f t="shared" ref="E7:M7" si="2">(E6-D6)/E6</f>
        <v>1.9607843137254912E-2</v>
      </c>
      <c r="F7" s="82">
        <f t="shared" si="2"/>
        <v>1.9607843137254905E-2</v>
      </c>
      <c r="G7" s="82">
        <f t="shared" si="2"/>
        <v>1.9607843137254975E-2</v>
      </c>
      <c r="H7" s="82">
        <f>(H6-G6)/H6</f>
        <v>1.9607843137254902E-2</v>
      </c>
      <c r="I7" s="82">
        <f t="shared" si="2"/>
        <v>1.9607843137254881E-2</v>
      </c>
      <c r="J7" s="82">
        <f t="shared" si="2"/>
        <v>1.9607843137254971E-2</v>
      </c>
      <c r="K7" s="82">
        <f t="shared" si="2"/>
        <v>1.9607843137254995E-2</v>
      </c>
      <c r="L7" s="82">
        <f t="shared" si="2"/>
        <v>1.9607843137254902E-2</v>
      </c>
      <c r="M7" s="82">
        <f t="shared" si="2"/>
        <v>1.9607843137254895E-2</v>
      </c>
      <c r="N7" s="79"/>
      <c r="O7" s="80"/>
      <c r="P7" s="80"/>
      <c r="Q7" s="83"/>
    </row>
    <row r="8" spans="1:17" ht="6.95" customHeight="1" x14ac:dyDescent="0.25">
      <c r="A8" s="87"/>
      <c r="B8" s="84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79"/>
      <c r="O8" s="80"/>
      <c r="P8" s="80"/>
      <c r="Q8" s="83"/>
    </row>
    <row r="9" spans="1:17" ht="15" hidden="1" customHeight="1" x14ac:dyDescent="0.25">
      <c r="A9" s="87" t="s">
        <v>187</v>
      </c>
      <c r="B9" s="84"/>
      <c r="C9" s="80">
        <f>Assumption!B17</f>
        <v>0</v>
      </c>
      <c r="D9" s="80">
        <f>MIN($P9,C9+$Q9)</f>
        <v>0</v>
      </c>
      <c r="E9" s="80">
        <f>MIN($P9,D9+$Q9)</f>
        <v>0</v>
      </c>
      <c r="F9" s="80">
        <f>MIN($P9,E9+$Q9)</f>
        <v>0</v>
      </c>
      <c r="G9" s="80">
        <f>MIN($P9,F9+$Q9)</f>
        <v>0</v>
      </c>
      <c r="H9" s="80">
        <f t="shared" ref="H9:M9" si="3">MIN($P9,G9+$Q9)</f>
        <v>0</v>
      </c>
      <c r="I9" s="80">
        <f t="shared" si="3"/>
        <v>0</v>
      </c>
      <c r="J9" s="80">
        <f t="shared" si="3"/>
        <v>0</v>
      </c>
      <c r="K9" s="80">
        <f t="shared" si="3"/>
        <v>0</v>
      </c>
      <c r="L9" s="80">
        <f t="shared" si="3"/>
        <v>0</v>
      </c>
      <c r="M9" s="80">
        <f t="shared" si="3"/>
        <v>0</v>
      </c>
      <c r="N9" s="79"/>
      <c r="O9" s="80">
        <f>P9-C9</f>
        <v>0</v>
      </c>
      <c r="P9" s="80">
        <f>Assumption!B17+Assumption!B18</f>
        <v>0</v>
      </c>
      <c r="Q9" s="81">
        <v>0</v>
      </c>
    </row>
    <row r="10" spans="1:17" ht="15" hidden="1" customHeight="1" x14ac:dyDescent="0.25">
      <c r="A10" s="87" t="s">
        <v>166</v>
      </c>
      <c r="B10" s="84"/>
      <c r="C10" s="82" t="e">
        <f>C9/SUM(Assumption!$B$17:$B$18)</f>
        <v>#DIV/0!</v>
      </c>
      <c r="D10" s="82" t="e">
        <f>D9/SUM(Assumption!$B$17:$B$18)</f>
        <v>#DIV/0!</v>
      </c>
      <c r="E10" s="82" t="e">
        <f>E9/SUM(Assumption!$B$17:$B$18)</f>
        <v>#DIV/0!</v>
      </c>
      <c r="F10" s="82" t="e">
        <f>F9/SUM(Assumption!$B$17:$B$18)</f>
        <v>#DIV/0!</v>
      </c>
      <c r="G10" s="82" t="e">
        <f>G9/SUM(Assumption!$B$17:$B$18)</f>
        <v>#DIV/0!</v>
      </c>
      <c r="H10" s="82" t="e">
        <f>H9/SUM(Assumption!$B$17:$B$18)</f>
        <v>#DIV/0!</v>
      </c>
      <c r="I10" s="82" t="e">
        <f>I9/SUM(Assumption!$B$17:$B$18)</f>
        <v>#DIV/0!</v>
      </c>
      <c r="J10" s="82" t="e">
        <f>J9/SUM(Assumption!$B$17:$B$18)</f>
        <v>#DIV/0!</v>
      </c>
      <c r="K10" s="82" t="e">
        <f>K9/SUM(Assumption!$B$17:$B$18)</f>
        <v>#DIV/0!</v>
      </c>
      <c r="L10" s="82" t="e">
        <f>L9/SUM(Assumption!$B$17:$B$18)</f>
        <v>#DIV/0!</v>
      </c>
      <c r="M10" s="82" t="e">
        <f>M9/SUM(Assumption!$B$17:$B$18)</f>
        <v>#DIV/0!</v>
      </c>
      <c r="N10" s="79"/>
      <c r="O10" s="80"/>
      <c r="P10" s="80"/>
      <c r="Q10" s="83"/>
    </row>
    <row r="11" spans="1:17" ht="15" hidden="1" customHeight="1" x14ac:dyDescent="0.25">
      <c r="A11" s="87" t="s">
        <v>193</v>
      </c>
      <c r="B11" s="84"/>
      <c r="C11" s="80">
        <f>Assumption!D17</f>
        <v>0</v>
      </c>
      <c r="D11" s="80">
        <f t="shared" ref="D11:M11" si="4">C11*(1+$P$18)</f>
        <v>0</v>
      </c>
      <c r="E11" s="80">
        <f t="shared" si="4"/>
        <v>0</v>
      </c>
      <c r="F11" s="80">
        <f t="shared" si="4"/>
        <v>0</v>
      </c>
      <c r="G11" s="80">
        <f t="shared" si="4"/>
        <v>0</v>
      </c>
      <c r="H11" s="80">
        <f t="shared" si="4"/>
        <v>0</v>
      </c>
      <c r="I11" s="80">
        <f t="shared" si="4"/>
        <v>0</v>
      </c>
      <c r="J11" s="80">
        <f t="shared" si="4"/>
        <v>0</v>
      </c>
      <c r="K11" s="80">
        <f t="shared" si="4"/>
        <v>0</v>
      </c>
      <c r="L11" s="80">
        <f t="shared" si="4"/>
        <v>0</v>
      </c>
      <c r="M11" s="80">
        <f t="shared" si="4"/>
        <v>0</v>
      </c>
      <c r="N11" s="79"/>
      <c r="O11" s="80"/>
      <c r="P11" s="80"/>
      <c r="Q11" s="83"/>
    </row>
    <row r="12" spans="1:17" ht="15" hidden="1" customHeight="1" x14ac:dyDescent="0.25">
      <c r="A12" s="87" t="s">
        <v>168</v>
      </c>
      <c r="B12" s="84"/>
      <c r="C12" s="80"/>
      <c r="D12" s="82" t="e">
        <f>(D11-C11)/D11</f>
        <v>#DIV/0!</v>
      </c>
      <c r="E12" s="82" t="e">
        <f t="shared" ref="E12:M12" si="5">(E11-D11)/E11</f>
        <v>#DIV/0!</v>
      </c>
      <c r="F12" s="82" t="e">
        <f t="shared" si="5"/>
        <v>#DIV/0!</v>
      </c>
      <c r="G12" s="82" t="e">
        <f t="shared" si="5"/>
        <v>#DIV/0!</v>
      </c>
      <c r="H12" s="82" t="e">
        <f t="shared" si="5"/>
        <v>#DIV/0!</v>
      </c>
      <c r="I12" s="82" t="e">
        <f t="shared" si="5"/>
        <v>#DIV/0!</v>
      </c>
      <c r="J12" s="82" t="e">
        <f t="shared" si="5"/>
        <v>#DIV/0!</v>
      </c>
      <c r="K12" s="82" t="e">
        <f t="shared" si="5"/>
        <v>#DIV/0!</v>
      </c>
      <c r="L12" s="82" t="e">
        <f t="shared" si="5"/>
        <v>#DIV/0!</v>
      </c>
      <c r="M12" s="82" t="e">
        <f t="shared" si="5"/>
        <v>#DIV/0!</v>
      </c>
      <c r="N12" s="79"/>
      <c r="O12" s="80"/>
      <c r="P12" s="80"/>
      <c r="Q12" s="83"/>
    </row>
    <row r="13" spans="1:17" ht="6.95" customHeight="1" x14ac:dyDescent="0.25">
      <c r="A13" s="88"/>
      <c r="B13" s="89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79"/>
      <c r="O13" s="80"/>
      <c r="P13" s="80"/>
      <c r="Q13" s="83"/>
    </row>
    <row r="14" spans="1:17" ht="15" customHeight="1" x14ac:dyDescent="0.25">
      <c r="A14" s="90" t="s">
        <v>106</v>
      </c>
      <c r="B14" s="91"/>
      <c r="C14" s="92">
        <f>C4+C9</f>
        <v>8</v>
      </c>
      <c r="D14" s="92">
        <f t="shared" ref="D14:M14" si="6">D4+D9</f>
        <v>8.8000000000000007</v>
      </c>
      <c r="E14" s="92">
        <f t="shared" si="6"/>
        <v>9.6000000000000014</v>
      </c>
      <c r="F14" s="92">
        <f t="shared" si="6"/>
        <v>10.400000000000002</v>
      </c>
      <c r="G14" s="92">
        <f t="shared" si="6"/>
        <v>11.200000000000003</v>
      </c>
      <c r="H14" s="92">
        <f t="shared" si="6"/>
        <v>12.000000000000004</v>
      </c>
      <c r="I14" s="92">
        <f t="shared" si="6"/>
        <v>12.800000000000004</v>
      </c>
      <c r="J14" s="92">
        <f t="shared" si="6"/>
        <v>13.600000000000005</v>
      </c>
      <c r="K14" s="92">
        <f t="shared" si="6"/>
        <v>14.400000000000006</v>
      </c>
      <c r="L14" s="92">
        <f t="shared" si="6"/>
        <v>15.200000000000006</v>
      </c>
      <c r="M14" s="92">
        <f t="shared" si="6"/>
        <v>16.000000000000007</v>
      </c>
      <c r="N14" s="79"/>
      <c r="O14" s="92">
        <f>SUM(O4:O12)</f>
        <v>9</v>
      </c>
      <c r="P14" s="92">
        <f>SUM(P4:P12)</f>
        <v>17</v>
      </c>
      <c r="Q14" s="79"/>
    </row>
    <row r="15" spans="1:17" ht="6.95" customHeight="1" x14ac:dyDescent="0.25"/>
    <row r="16" spans="1:17" ht="23.25" customHeight="1" x14ac:dyDescent="0.25">
      <c r="A16" s="9" t="s">
        <v>107</v>
      </c>
      <c r="B16" s="9" t="s">
        <v>245</v>
      </c>
      <c r="C16" s="26" t="s">
        <v>255</v>
      </c>
      <c r="D16" s="26" t="s">
        <v>238</v>
      </c>
      <c r="E16" s="26" t="s">
        <v>239</v>
      </c>
      <c r="F16" s="26" t="s">
        <v>67</v>
      </c>
      <c r="G16" s="26" t="s">
        <v>68</v>
      </c>
      <c r="H16" s="26" t="s">
        <v>69</v>
      </c>
      <c r="I16" s="26" t="s">
        <v>70</v>
      </c>
      <c r="J16" s="26" t="s">
        <v>71</v>
      </c>
      <c r="K16" s="26" t="s">
        <v>72</v>
      </c>
      <c r="L16" s="26" t="s">
        <v>73</v>
      </c>
      <c r="M16" s="26" t="s">
        <v>74</v>
      </c>
    </row>
    <row r="17" spans="1:19" ht="15" customHeight="1" x14ac:dyDescent="0.25">
      <c r="A17" s="54" t="s">
        <v>190</v>
      </c>
      <c r="B17" s="12">
        <v>108000</v>
      </c>
      <c r="C17" s="12">
        <f>C6*C4*12</f>
        <v>21900</v>
      </c>
      <c r="D17" s="12">
        <f t="shared" ref="D17:M17" si="7">C17*(1+$P17)</f>
        <v>22338</v>
      </c>
      <c r="E17" s="12">
        <f t="shared" si="7"/>
        <v>22784.760000000002</v>
      </c>
      <c r="F17" s="12">
        <f t="shared" si="7"/>
        <v>23240.455200000004</v>
      </c>
      <c r="G17" s="12">
        <f t="shared" si="7"/>
        <v>23705.264304000004</v>
      </c>
      <c r="H17" s="12">
        <f t="shared" si="7"/>
        <v>24179.369590080005</v>
      </c>
      <c r="I17" s="12">
        <f t="shared" si="7"/>
        <v>24662.956981881605</v>
      </c>
      <c r="J17" s="12">
        <f t="shared" si="7"/>
        <v>25156.216121519239</v>
      </c>
      <c r="K17" s="12">
        <f t="shared" si="7"/>
        <v>25659.340443949623</v>
      </c>
      <c r="L17" s="12">
        <f t="shared" si="7"/>
        <v>26172.527252828615</v>
      </c>
      <c r="M17" s="12">
        <f t="shared" si="7"/>
        <v>26695.977797885189</v>
      </c>
      <c r="O17" s="65" t="str">
        <f>A17&amp;"Increased by "&amp;TEXT(P17,"0%")&amp;" annually"</f>
        <v>POH Rent Increased by 2% annually</v>
      </c>
      <c r="P17" s="93">
        <v>0.02</v>
      </c>
    </row>
    <row r="18" spans="1:19" ht="15" hidden="1" customHeight="1" x14ac:dyDescent="0.25">
      <c r="A18" s="54" t="s">
        <v>191</v>
      </c>
      <c r="B18" s="12">
        <v>0</v>
      </c>
      <c r="C18" s="12">
        <f t="shared" ref="C18:C22" si="8">B18</f>
        <v>0</v>
      </c>
      <c r="D18" s="12">
        <f t="shared" ref="D18:M18" si="9">D9*D11*12</f>
        <v>0</v>
      </c>
      <c r="E18" s="12">
        <f t="shared" si="9"/>
        <v>0</v>
      </c>
      <c r="F18" s="12">
        <f t="shared" si="9"/>
        <v>0</v>
      </c>
      <c r="G18" s="12">
        <f t="shared" si="9"/>
        <v>0</v>
      </c>
      <c r="H18" s="12">
        <f t="shared" si="9"/>
        <v>0</v>
      </c>
      <c r="I18" s="12">
        <f t="shared" si="9"/>
        <v>0</v>
      </c>
      <c r="J18" s="12">
        <f t="shared" si="9"/>
        <v>0</v>
      </c>
      <c r="K18" s="12">
        <f t="shared" si="9"/>
        <v>0</v>
      </c>
      <c r="L18" s="12">
        <f t="shared" si="9"/>
        <v>0</v>
      </c>
      <c r="M18" s="12">
        <f t="shared" si="9"/>
        <v>0</v>
      </c>
      <c r="O18" s="65" t="str">
        <f t="shared" ref="O18" si="10">A18&amp;"Increased by "&amp;TEXT(P18,"0%")&amp;" annually"</f>
        <v>RV Rent Increased by 5% annually</v>
      </c>
      <c r="P18" s="93">
        <v>0.05</v>
      </c>
    </row>
    <row r="19" spans="1:19" ht="15" customHeight="1" x14ac:dyDescent="0.25">
      <c r="A19" s="54" t="s">
        <v>251</v>
      </c>
      <c r="B19" s="12"/>
      <c r="C19" s="12">
        <v>88944</v>
      </c>
      <c r="D19" s="12">
        <f>RTO!G33</f>
        <v>88944</v>
      </c>
      <c r="E19" s="12">
        <f>RTO!H33</f>
        <v>90722.87999999999</v>
      </c>
      <c r="F19" s="12">
        <f>RTO!I33</f>
        <v>92537.33759999997</v>
      </c>
      <c r="G19" s="12">
        <f>RTO!J33</f>
        <v>94388.084351999976</v>
      </c>
      <c r="H19" s="12">
        <f>RTO!K33</f>
        <v>96275.846039040029</v>
      </c>
      <c r="I19" s="12">
        <f>RTO!L33</f>
        <v>0</v>
      </c>
      <c r="J19" s="12">
        <f>RTO!M33</f>
        <v>0</v>
      </c>
      <c r="K19" s="12">
        <f>RTO!N33</f>
        <v>0</v>
      </c>
      <c r="L19" s="12">
        <f>RTO!O33</f>
        <v>0</v>
      </c>
      <c r="M19" s="12">
        <f>RTO!P33</f>
        <v>0</v>
      </c>
      <c r="O19" s="94"/>
      <c r="P19" s="95"/>
    </row>
    <row r="20" spans="1:19" ht="15" customHeight="1" x14ac:dyDescent="0.25">
      <c r="A20" s="54" t="s">
        <v>108</v>
      </c>
      <c r="B20" s="12"/>
      <c r="C20" s="12">
        <f t="shared" ref="C20:M20" si="11">-((($P$4-C4)*C6)+(($P$9-C9)*C11))</f>
        <v>-2053.125</v>
      </c>
      <c r="D20" s="12">
        <f t="shared" si="11"/>
        <v>-1908.0374999999999</v>
      </c>
      <c r="E20" s="12">
        <f t="shared" si="11"/>
        <v>-1756.3252499999996</v>
      </c>
      <c r="F20" s="12">
        <f t="shared" si="11"/>
        <v>-1597.7812949999995</v>
      </c>
      <c r="G20" s="12">
        <f t="shared" si="11"/>
        <v>-1432.1930516999994</v>
      </c>
      <c r="H20" s="12">
        <f t="shared" si="11"/>
        <v>-1259.3421661499992</v>
      </c>
      <c r="I20" s="12">
        <f t="shared" si="11"/>
        <v>-1079.0043679573189</v>
      </c>
      <c r="J20" s="12">
        <f t="shared" si="11"/>
        <v>-890.9493209704716</v>
      </c>
      <c r="K20" s="12">
        <f t="shared" si="11"/>
        <v>-694.94047035696747</v>
      </c>
      <c r="L20" s="12">
        <f t="shared" si="11"/>
        <v>-490.73488599053479</v>
      </c>
      <c r="M20" s="12">
        <f t="shared" si="11"/>
        <v>-278.08310206130204</v>
      </c>
    </row>
    <row r="21" spans="1:19" ht="15" hidden="1" customHeight="1" x14ac:dyDescent="0.25">
      <c r="A21" s="54" t="s">
        <v>244</v>
      </c>
      <c r="B21" s="60">
        <v>0</v>
      </c>
      <c r="C21" s="12">
        <f t="shared" si="8"/>
        <v>0</v>
      </c>
      <c r="D21" s="60">
        <v>0</v>
      </c>
      <c r="E21" s="60">
        <v>0</v>
      </c>
      <c r="F21" s="60">
        <v>0</v>
      </c>
      <c r="G21" s="60">
        <v>0</v>
      </c>
      <c r="H21" s="60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9" ht="15" hidden="1" customHeight="1" x14ac:dyDescent="0.25">
      <c r="A22" s="54" t="s">
        <v>250</v>
      </c>
      <c r="B22" s="12">
        <v>0</v>
      </c>
      <c r="C22" s="12">
        <f t="shared" si="8"/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9" ht="15" customHeight="1" x14ac:dyDescent="0.25">
      <c r="A23" s="54" t="s">
        <v>109</v>
      </c>
      <c r="B23" s="12"/>
      <c r="C23" s="12">
        <f t="shared" ref="C23:M23" si="12">$P$23*(SUM(C17:C19)+C20+C21+C22)</f>
        <v>2175.8175000000001</v>
      </c>
      <c r="D23" s="12">
        <f t="shared" si="12"/>
        <v>2187.4792499999999</v>
      </c>
      <c r="E23" s="12">
        <f t="shared" si="12"/>
        <v>2235.0262949999997</v>
      </c>
      <c r="F23" s="12">
        <f t="shared" si="12"/>
        <v>2283.6002300999994</v>
      </c>
      <c r="G23" s="12">
        <f>$P$23*(SUM(G17:G19)+G20+G21+G22)</f>
        <v>2333.2231120859997</v>
      </c>
      <c r="H23" s="12">
        <f t="shared" si="12"/>
        <v>2383.9174692594006</v>
      </c>
      <c r="I23" s="12">
        <f t="shared" si="12"/>
        <v>471.67905227848576</v>
      </c>
      <c r="J23" s="12">
        <f t="shared" si="12"/>
        <v>485.3053360109754</v>
      </c>
      <c r="K23" s="12">
        <f t="shared" si="12"/>
        <v>499.28799947185314</v>
      </c>
      <c r="L23" s="12">
        <f t="shared" si="12"/>
        <v>513.63584733676157</v>
      </c>
      <c r="M23" s="12">
        <f t="shared" si="12"/>
        <v>528.35789391647779</v>
      </c>
      <c r="N23" s="12"/>
      <c r="O23" s="65" t="str">
        <f>"Assumed "&amp;TEXT(P23,"0%")</f>
        <v>Assumed 2%</v>
      </c>
      <c r="P23" s="93">
        <v>0.02</v>
      </c>
    </row>
    <row r="24" spans="1:19" ht="15" customHeight="1" x14ac:dyDescent="0.25">
      <c r="A24" s="55" t="s">
        <v>77</v>
      </c>
      <c r="B24" s="8">
        <f t="shared" ref="B24" si="13">SUM(B17:B22)</f>
        <v>108000</v>
      </c>
      <c r="C24" s="8">
        <f t="shared" ref="C24:M24" si="14">SUM(C17:C22)</f>
        <v>108790.875</v>
      </c>
      <c r="D24" s="8">
        <f t="shared" si="14"/>
        <v>109373.96249999999</v>
      </c>
      <c r="E24" s="8">
        <f t="shared" si="14"/>
        <v>111751.31474999999</v>
      </c>
      <c r="F24" s="8">
        <f t="shared" si="14"/>
        <v>114180.01150499997</v>
      </c>
      <c r="G24" s="8">
        <f t="shared" si="14"/>
        <v>116661.15560429999</v>
      </c>
      <c r="H24" s="8">
        <f t="shared" si="14"/>
        <v>119195.87346297003</v>
      </c>
      <c r="I24" s="8">
        <f t="shared" si="14"/>
        <v>23583.952613924288</v>
      </c>
      <c r="J24" s="8">
        <f t="shared" si="14"/>
        <v>24265.266800548769</v>
      </c>
      <c r="K24" s="8">
        <f t="shared" si="14"/>
        <v>24964.399973592655</v>
      </c>
      <c r="L24" s="8">
        <f t="shared" si="14"/>
        <v>25681.792366838079</v>
      </c>
      <c r="M24" s="8">
        <f t="shared" si="14"/>
        <v>26417.894695823888</v>
      </c>
    </row>
    <row r="25" spans="1:19" x14ac:dyDescent="0.25">
      <c r="A25" s="56"/>
    </row>
    <row r="26" spans="1:19" ht="23.25" customHeight="1" x14ac:dyDescent="0.25">
      <c r="A26" s="67" t="s">
        <v>110</v>
      </c>
      <c r="B26" s="9" t="s">
        <v>245</v>
      </c>
      <c r="C26" s="26" t="s">
        <v>255</v>
      </c>
      <c r="D26" s="9" t="s">
        <v>65</v>
      </c>
      <c r="E26" s="9" t="s">
        <v>66</v>
      </c>
      <c r="F26" s="9" t="s">
        <v>67</v>
      </c>
      <c r="G26" s="9" t="s">
        <v>68</v>
      </c>
      <c r="H26" s="9" t="s">
        <v>69</v>
      </c>
      <c r="I26" s="9" t="s">
        <v>70</v>
      </c>
      <c r="J26" s="9" t="s">
        <v>71</v>
      </c>
      <c r="K26" s="9" t="s">
        <v>72</v>
      </c>
      <c r="L26" s="9" t="s">
        <v>73</v>
      </c>
      <c r="M26" s="9" t="s">
        <v>74</v>
      </c>
      <c r="P26" s="9" t="s">
        <v>249</v>
      </c>
      <c r="Q26" s="9" t="s">
        <v>111</v>
      </c>
      <c r="R26" s="27" t="s">
        <v>112</v>
      </c>
      <c r="S26" s="27" t="s">
        <v>113</v>
      </c>
    </row>
    <row r="27" spans="1:19" ht="15" customHeight="1" x14ac:dyDescent="0.25">
      <c r="A27" s="54" t="s">
        <v>257</v>
      </c>
      <c r="B27" s="29">
        <v>0</v>
      </c>
      <c r="C27" s="68">
        <f>($Q$27*C14*12)</f>
        <v>9600</v>
      </c>
      <c r="D27" s="68">
        <f>($Q$27*D14*12)*(1+$P$27)</f>
        <v>10982.400000000001</v>
      </c>
      <c r="E27" s="68">
        <f t="shared" ref="E27:M27" si="15">($Q$27*E14*12)*(1+$P$27)</f>
        <v>11980.800000000003</v>
      </c>
      <c r="F27" s="68">
        <f t="shared" si="15"/>
        <v>12979.200000000004</v>
      </c>
      <c r="G27" s="68">
        <f t="shared" si="15"/>
        <v>13977.600000000004</v>
      </c>
      <c r="H27" s="68">
        <f t="shared" si="15"/>
        <v>14976.000000000005</v>
      </c>
      <c r="I27" s="68">
        <f t="shared" si="15"/>
        <v>15974.400000000007</v>
      </c>
      <c r="J27" s="68">
        <f t="shared" si="15"/>
        <v>16972.800000000007</v>
      </c>
      <c r="K27" s="68">
        <f t="shared" si="15"/>
        <v>17971.200000000008</v>
      </c>
      <c r="L27" s="68">
        <f t="shared" si="15"/>
        <v>18969.600000000009</v>
      </c>
      <c r="M27" s="68">
        <f t="shared" si="15"/>
        <v>19968.000000000007</v>
      </c>
      <c r="N27" s="68"/>
      <c r="O27" s="65" t="str">
        <f>IF(AND(B27=0,C27=0),"",IF(B27=C27,"Pro Forma Increased by "&amp;TEXT($P27,"0%")&amp;" annually","Assumed $"&amp;TEXT(Q27,"0")&amp;"/m/lot, "&amp;"increased by "&amp;TEXT($P27,"0%")&amp;" annually"))</f>
        <v>Assumed $100/m/lot, increased by 4% annually</v>
      </c>
      <c r="P27" s="93">
        <v>0.04</v>
      </c>
      <c r="Q27">
        <v>100</v>
      </c>
    </row>
    <row r="28" spans="1:19" ht="15" customHeight="1" x14ac:dyDescent="0.25">
      <c r="A28" s="54" t="s">
        <v>118</v>
      </c>
      <c r="B28" s="29">
        <v>0</v>
      </c>
      <c r="C28" s="68">
        <f>($Q$28*C4*12)</f>
        <v>14400</v>
      </c>
      <c r="D28" s="68">
        <f>($Q$28*D4*12)*(1+$P$28)</f>
        <v>16473.600000000002</v>
      </c>
      <c r="E28" s="68">
        <f t="shared" ref="E28:M28" si="16">($Q$28*E4*12)*(1+$P$28)</f>
        <v>17971.200000000004</v>
      </c>
      <c r="F28" s="68">
        <f t="shared" si="16"/>
        <v>19468.800000000003</v>
      </c>
      <c r="G28" s="68">
        <f t="shared" si="16"/>
        <v>20966.400000000009</v>
      </c>
      <c r="H28" s="68">
        <f t="shared" si="16"/>
        <v>22464.000000000007</v>
      </c>
      <c r="I28" s="68">
        <f t="shared" si="16"/>
        <v>23961.600000000009</v>
      </c>
      <c r="J28" s="68">
        <f t="shared" si="16"/>
        <v>25459.200000000008</v>
      </c>
      <c r="K28" s="68">
        <f t="shared" si="16"/>
        <v>26956.800000000014</v>
      </c>
      <c r="L28" s="68">
        <f t="shared" si="16"/>
        <v>28454.400000000012</v>
      </c>
      <c r="M28" s="68">
        <f t="shared" si="16"/>
        <v>29952.000000000011</v>
      </c>
      <c r="N28" s="68"/>
      <c r="O28" s="65" t="str">
        <f>IF(AND(B28=0,C28=0),"",IF(C28=B28,"Pro Forma Increased by "&amp;TEXT($P28,"0%")&amp;" annually","Assumed $"&amp;TEXT(Q28,"0")&amp;"/m/lot, "&amp;"increased by "&amp;TEXT($P28,"0%")&amp;" annually"))</f>
        <v>Assumed $150/m/lot, increased by 4% annually</v>
      </c>
      <c r="P28" s="93">
        <v>0.04</v>
      </c>
      <c r="Q28">
        <v>150</v>
      </c>
    </row>
    <row r="29" spans="1:19" ht="15" customHeight="1" x14ac:dyDescent="0.25">
      <c r="A29" s="54" t="s">
        <v>214</v>
      </c>
      <c r="B29" s="29">
        <v>41200</v>
      </c>
      <c r="C29" s="68">
        <f t="shared" ref="C29" si="17">B29</f>
        <v>41200</v>
      </c>
      <c r="D29" s="12">
        <f t="shared" ref="D29:M29" si="18">C29*(1+$P29)</f>
        <v>42436</v>
      </c>
      <c r="E29" s="12">
        <f>D29*(1+$P29)</f>
        <v>43709.08</v>
      </c>
      <c r="F29" s="12">
        <f t="shared" si="18"/>
        <v>45020.352400000003</v>
      </c>
      <c r="G29" s="12">
        <f t="shared" si="18"/>
        <v>46370.962972000001</v>
      </c>
      <c r="H29" s="12">
        <f t="shared" si="18"/>
        <v>47762.091861159999</v>
      </c>
      <c r="I29" s="12">
        <f t="shared" si="18"/>
        <v>49194.954616994801</v>
      </c>
      <c r="J29" s="12">
        <f t="shared" si="18"/>
        <v>50670.803255504645</v>
      </c>
      <c r="K29" s="12">
        <f t="shared" si="18"/>
        <v>52190.927353169784</v>
      </c>
      <c r="L29" s="12">
        <f t="shared" si="18"/>
        <v>53756.655173764877</v>
      </c>
      <c r="M29" s="12">
        <f t="shared" si="18"/>
        <v>55369.354828977826</v>
      </c>
      <c r="O29" s="65" t="str">
        <f>IF(AND(B29=0,C29=0),"",IF(B29=C29,"Pro Forma Increased by "&amp;TEXT($P29,"0%")&amp;" annually","Assumed "&amp;TEXT(Q49,"0%")))</f>
        <v>Pro Forma Increased by 3% annually</v>
      </c>
      <c r="P29" s="93">
        <v>0.03</v>
      </c>
    </row>
    <row r="30" spans="1:19" ht="15" hidden="1" customHeight="1" x14ac:dyDescent="0.25">
      <c r="A30" s="54" t="s">
        <v>119</v>
      </c>
      <c r="B30" s="12">
        <v>0</v>
      </c>
      <c r="C30" s="68">
        <f>B30</f>
        <v>0</v>
      </c>
      <c r="D30" s="12">
        <f>B30*(1+$P30)</f>
        <v>0</v>
      </c>
      <c r="E30" s="12">
        <f t="shared" ref="E30:M30" si="19">D30*(1+$P30)</f>
        <v>0</v>
      </c>
      <c r="F30" s="12">
        <f t="shared" si="19"/>
        <v>0</v>
      </c>
      <c r="G30" s="12">
        <f t="shared" si="19"/>
        <v>0</v>
      </c>
      <c r="H30" s="12">
        <f t="shared" si="19"/>
        <v>0</v>
      </c>
      <c r="I30" s="12">
        <f t="shared" si="19"/>
        <v>0</v>
      </c>
      <c r="J30" s="12">
        <f t="shared" si="19"/>
        <v>0</v>
      </c>
      <c r="K30" s="12">
        <f t="shared" si="19"/>
        <v>0</v>
      </c>
      <c r="L30" s="12">
        <f t="shared" si="19"/>
        <v>0</v>
      </c>
      <c r="M30" s="12">
        <f t="shared" si="19"/>
        <v>0</v>
      </c>
      <c r="O30" s="65" t="str">
        <f>IF(AND(B30=0,C30=0),"",IF(B30=C30,"Pro Forma Increased by "&amp;TEXT($P30,"0%")&amp;" annually","Assumed "&amp;TEXT(Q50,"0%")))</f>
        <v/>
      </c>
      <c r="P30" s="93">
        <v>0.03</v>
      </c>
      <c r="Q30" s="5"/>
      <c r="R30" s="11"/>
      <c r="S30" s="12">
        <f>Q30*R30*12</f>
        <v>0</v>
      </c>
    </row>
    <row r="31" spans="1:19" ht="15" customHeight="1" x14ac:dyDescent="0.25">
      <c r="A31" s="55" t="s">
        <v>80</v>
      </c>
      <c r="B31" s="8">
        <f>SUM(B27:B30)</f>
        <v>41200</v>
      </c>
      <c r="C31" s="8">
        <f>SUM(C27:C30)</f>
        <v>65200</v>
      </c>
      <c r="D31" s="8">
        <f t="shared" ref="D31:M31" si="20">SUM(D27:D30)</f>
        <v>69892</v>
      </c>
      <c r="E31" s="8">
        <f t="shared" si="20"/>
        <v>73661.080000000016</v>
      </c>
      <c r="F31" s="8">
        <f t="shared" si="20"/>
        <v>77468.352400000003</v>
      </c>
      <c r="G31" s="8">
        <f t="shared" si="20"/>
        <v>81314.962972000008</v>
      </c>
      <c r="H31" s="8">
        <f t="shared" si="20"/>
        <v>85202.091861160006</v>
      </c>
      <c r="I31" s="8">
        <f t="shared" si="20"/>
        <v>89130.954616994815</v>
      </c>
      <c r="J31" s="8">
        <f t="shared" si="20"/>
        <v>93102.803255504667</v>
      </c>
      <c r="K31" s="8">
        <f t="shared" si="20"/>
        <v>97118.927353169798</v>
      </c>
      <c r="L31" s="8">
        <f t="shared" si="20"/>
        <v>101180.6551737649</v>
      </c>
      <c r="M31" s="8">
        <f t="shared" si="20"/>
        <v>105289.35482897784</v>
      </c>
      <c r="N31" s="97"/>
    </row>
    <row r="32" spans="1:19" ht="15" customHeight="1" x14ac:dyDescent="0.25">
      <c r="A32" s="57" t="s">
        <v>117</v>
      </c>
      <c r="B32" s="13"/>
      <c r="C32" s="14">
        <f t="shared" ref="C32:M32" si="21">C24-C31</f>
        <v>43590.875</v>
      </c>
      <c r="D32" s="14">
        <f t="shared" si="21"/>
        <v>39481.962499999994</v>
      </c>
      <c r="E32" s="14">
        <f t="shared" si="21"/>
        <v>38090.234749999974</v>
      </c>
      <c r="F32" s="14">
        <f t="shared" si="21"/>
        <v>36711.65910499997</v>
      </c>
      <c r="G32" s="14">
        <f t="shared" si="21"/>
        <v>35346.192632299979</v>
      </c>
      <c r="H32" s="14">
        <f t="shared" si="21"/>
        <v>33993.781601810027</v>
      </c>
      <c r="I32" s="14">
        <f t="shared" si="21"/>
        <v>-65547.00200307052</v>
      </c>
      <c r="J32" s="14">
        <f t="shared" si="21"/>
        <v>-68837.536454955902</v>
      </c>
      <c r="K32" s="14">
        <f t="shared" si="21"/>
        <v>-72154.527379577135</v>
      </c>
      <c r="L32" s="14">
        <f t="shared" si="21"/>
        <v>-75498.862806926816</v>
      </c>
      <c r="M32" s="14">
        <f t="shared" si="21"/>
        <v>-78871.460133153945</v>
      </c>
    </row>
    <row r="33" spans="1:13" x14ac:dyDescent="0.25">
      <c r="A33" s="58" t="s">
        <v>146</v>
      </c>
      <c r="B33" s="22"/>
      <c r="C33" s="23">
        <f t="shared" ref="C33:M33" si="22">C31/C24</f>
        <v>0.599314970120426</v>
      </c>
      <c r="D33" s="23">
        <f t="shared" si="22"/>
        <v>0.6390186329767471</v>
      </c>
      <c r="E33" s="23">
        <f t="shared" si="22"/>
        <v>0.65915179758545095</v>
      </c>
      <c r="F33" s="23">
        <f t="shared" si="22"/>
        <v>0.67847560513345762</v>
      </c>
      <c r="G33" s="23">
        <f t="shared" si="22"/>
        <v>0.69701832242953399</v>
      </c>
      <c r="H33" s="23">
        <f t="shared" si="22"/>
        <v>0.71480739547270733</v>
      </c>
      <c r="I33" s="23">
        <f t="shared" si="22"/>
        <v>3.779305194345187</v>
      </c>
      <c r="J33" s="23">
        <f t="shared" si="22"/>
        <v>3.8368753173321428</v>
      </c>
      <c r="K33" s="23">
        <f t="shared" si="22"/>
        <v>3.8902968809946246</v>
      </c>
      <c r="L33" s="23">
        <f t="shared" si="22"/>
        <v>3.939781683789938</v>
      </c>
      <c r="M33" s="23">
        <f t="shared" si="22"/>
        <v>3.9855316270006127</v>
      </c>
    </row>
    <row r="34" spans="1:13" x14ac:dyDescent="0.25">
      <c r="A34" s="56"/>
    </row>
    <row r="35" spans="1:13" x14ac:dyDescent="0.25">
      <c r="A35" s="56"/>
    </row>
    <row r="36" spans="1:13" x14ac:dyDescent="0.25">
      <c r="A36" s="56"/>
    </row>
    <row r="37" spans="1:13" x14ac:dyDescent="0.25">
      <c r="A37" s="56"/>
    </row>
  </sheetData>
  <phoneticPr fontId="27" type="noConversion"/>
  <pageMargins left="0.75" right="0.75" top="1" bottom="1" header="0.511811023622047" footer="0.511811023622047"/>
  <pageSetup paperSize="9" orientation="portrait" horizontalDpi="300" verticalDpi="300" r:id="rId1"/>
  <ignoredErrors>
    <ignoredError sqref="P4" formulaRange="1"/>
    <ignoredError sqref="D29 F29:H2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showGridLines="0" zoomScaleNormal="100" workbookViewId="0"/>
  </sheetViews>
  <sheetFormatPr defaultColWidth="8.7109375" defaultRowHeight="15" x14ac:dyDescent="0.25"/>
  <cols>
    <col min="1" max="1" width="40" customWidth="1"/>
    <col min="2" max="2" width="16" customWidth="1"/>
    <col min="3" max="3" width="14" customWidth="1"/>
    <col min="4" max="4" width="18.85546875" bestFit="1" customWidth="1"/>
    <col min="5" max="12" width="14" customWidth="1"/>
    <col min="13" max="14" width="3" customWidth="1"/>
  </cols>
  <sheetData>
    <row r="1" spans="1:12" ht="18" customHeight="1" x14ac:dyDescent="0.3">
      <c r="A1" s="1" t="s">
        <v>52</v>
      </c>
    </row>
    <row r="2" spans="1:12" ht="15" customHeight="1" x14ac:dyDescent="0.25">
      <c r="A2" s="3" t="s">
        <v>53</v>
      </c>
    </row>
    <row r="4" spans="1:12" ht="15" customHeight="1" x14ac:dyDescent="0.25">
      <c r="A4" s="4" t="s">
        <v>54</v>
      </c>
      <c r="B4" s="4"/>
      <c r="D4" s="4" t="s">
        <v>55</v>
      </c>
      <c r="E4" s="4"/>
      <c r="F4" s="125"/>
    </row>
    <row r="5" spans="1:12" ht="15" customHeight="1" x14ac:dyDescent="0.25">
      <c r="A5" s="2" t="s">
        <v>56</v>
      </c>
      <c r="B5" s="120">
        <f>'BOV '!B6</f>
        <v>1048462.1466970821</v>
      </c>
      <c r="D5" s="2" t="s">
        <v>50</v>
      </c>
      <c r="E5" s="123">
        <v>10</v>
      </c>
    </row>
    <row r="6" spans="1:12" ht="15" customHeight="1" x14ac:dyDescent="0.25">
      <c r="A6" s="2" t="s">
        <v>57</v>
      </c>
      <c r="B6" s="121">
        <f>'BOV '!B19</f>
        <v>0.7</v>
      </c>
      <c r="D6" s="2" t="s">
        <v>58</v>
      </c>
      <c r="E6" s="120">
        <f>B5</f>
        <v>1048462.1466970821</v>
      </c>
    </row>
    <row r="7" spans="1:12" ht="15" customHeight="1" x14ac:dyDescent="0.25">
      <c r="A7" s="2" t="s">
        <v>59</v>
      </c>
      <c r="B7" s="122">
        <f>'BOV '!B21</f>
        <v>6.8699999999999997E-2</v>
      </c>
      <c r="D7" s="2" t="s">
        <v>60</v>
      </c>
      <c r="E7" s="120">
        <f>E6*B6</f>
        <v>733923.50268795737</v>
      </c>
    </row>
    <row r="8" spans="1:12" ht="15" customHeight="1" x14ac:dyDescent="0.25">
      <c r="A8" s="2" t="s">
        <v>61</v>
      </c>
      <c r="B8" s="123">
        <f>'BOV '!B35</f>
        <v>30</v>
      </c>
      <c r="D8" s="2" t="s">
        <v>42</v>
      </c>
      <c r="E8" s="120">
        <f>E6-E7</f>
        <v>314538.64400912472</v>
      </c>
    </row>
    <row r="9" spans="1:12" ht="15" customHeight="1" x14ac:dyDescent="0.25">
      <c r="A9" s="2" t="s">
        <v>62</v>
      </c>
      <c r="B9" s="124">
        <v>0.1</v>
      </c>
    </row>
    <row r="10" spans="1:12" ht="15" customHeight="1" x14ac:dyDescent="0.25">
      <c r="A10" s="2" t="s">
        <v>63</v>
      </c>
      <c r="B10" s="124">
        <v>0.02</v>
      </c>
    </row>
    <row r="12" spans="1:12" ht="15" customHeight="1" x14ac:dyDescent="0.25">
      <c r="A12" s="9" t="s">
        <v>64</v>
      </c>
      <c r="B12" s="26" t="s">
        <v>246</v>
      </c>
      <c r="C12" s="9" t="s">
        <v>65</v>
      </c>
      <c r="D12" s="9" t="s">
        <v>66</v>
      </c>
      <c r="E12" s="9" t="s">
        <v>67</v>
      </c>
      <c r="F12" s="9" t="s">
        <v>68</v>
      </c>
      <c r="G12" s="9" t="s">
        <v>69</v>
      </c>
      <c r="H12" s="9" t="s">
        <v>70</v>
      </c>
      <c r="I12" s="9" t="s">
        <v>71</v>
      </c>
      <c r="J12" s="9" t="s">
        <v>72</v>
      </c>
      <c r="K12" s="9" t="s">
        <v>73</v>
      </c>
      <c r="L12" s="9" t="s">
        <v>74</v>
      </c>
    </row>
    <row r="13" spans="1:12" ht="15" customHeight="1" x14ac:dyDescent="0.25">
      <c r="A13" s="2" t="s">
        <v>75</v>
      </c>
      <c r="B13" s="29">
        <f>Land!C42</f>
        <v>153476.5</v>
      </c>
      <c r="C13" s="29">
        <f>Land!D42</f>
        <v>166194.4854347826</v>
      </c>
      <c r="D13" s="29">
        <f>Land!E42</f>
        <v>178788.59281956521</v>
      </c>
      <c r="E13" s="29">
        <f>Land!F42</f>
        <v>191964.83380184782</v>
      </c>
      <c r="F13" s="29">
        <f>Land!G42</f>
        <v>205747.36274322547</v>
      </c>
      <c r="G13" s="29">
        <f>Land!H42</f>
        <v>220161.25934675109</v>
      </c>
      <c r="H13" s="29">
        <f>Land!I42</f>
        <v>235232.56243849752</v>
      </c>
      <c r="I13" s="29">
        <f>Land!J42</f>
        <v>250988.30494320628</v>
      </c>
      <c r="J13" s="29">
        <f>Land!K42</f>
        <v>267456.55009526369</v>
      </c>
      <c r="K13" s="29">
        <f>Land!L42</f>
        <v>275877.09540716122</v>
      </c>
      <c r="L13" s="29">
        <f>Land!M42</f>
        <v>283571.79432372388</v>
      </c>
    </row>
    <row r="14" spans="1:12" ht="15" customHeight="1" x14ac:dyDescent="0.25">
      <c r="A14" s="2" t="s">
        <v>76</v>
      </c>
      <c r="B14" s="29">
        <f>'POH '!C24</f>
        <v>108790.875</v>
      </c>
      <c r="C14" s="29">
        <f>'POH '!D24</f>
        <v>109373.96249999999</v>
      </c>
      <c r="D14" s="29">
        <f>'POH '!E24</f>
        <v>111751.31474999999</v>
      </c>
      <c r="E14" s="29">
        <f>'POH '!F24</f>
        <v>114180.01150499997</v>
      </c>
      <c r="F14" s="29">
        <f>'POH '!G24</f>
        <v>116661.15560429999</v>
      </c>
      <c r="G14" s="29">
        <f>'POH '!H24</f>
        <v>119195.87346297003</v>
      </c>
      <c r="H14" s="29">
        <f>'POH '!I24</f>
        <v>23583.952613924288</v>
      </c>
      <c r="I14" s="29">
        <f>'POH '!J24</f>
        <v>24265.266800548769</v>
      </c>
      <c r="J14" s="29">
        <f>'POH '!K24</f>
        <v>24964.399973592655</v>
      </c>
      <c r="K14" s="29">
        <f>'POH '!L24</f>
        <v>25681.792366838079</v>
      </c>
      <c r="L14" s="29">
        <f>'POH '!M24</f>
        <v>26417.894695823888</v>
      </c>
    </row>
    <row r="15" spans="1:12" ht="15" customHeight="1" x14ac:dyDescent="0.25">
      <c r="A15" s="6" t="s">
        <v>77</v>
      </c>
      <c r="B15" s="69">
        <f t="shared" ref="B15:L15" si="0">B13+B14</f>
        <v>262267.375</v>
      </c>
      <c r="C15" s="69">
        <f t="shared" si="0"/>
        <v>275568.4479347826</v>
      </c>
      <c r="D15" s="69">
        <f t="shared" si="0"/>
        <v>290539.90756956523</v>
      </c>
      <c r="E15" s="69">
        <f t="shared" si="0"/>
        <v>306144.84530684783</v>
      </c>
      <c r="F15" s="69">
        <f t="shared" si="0"/>
        <v>322408.51834752545</v>
      </c>
      <c r="G15" s="69">
        <f t="shared" si="0"/>
        <v>339357.13280972111</v>
      </c>
      <c r="H15" s="69">
        <f t="shared" si="0"/>
        <v>258816.5150524218</v>
      </c>
      <c r="I15" s="69">
        <f t="shared" si="0"/>
        <v>275253.57174375508</v>
      </c>
      <c r="J15" s="69">
        <f t="shared" si="0"/>
        <v>292420.95006885636</v>
      </c>
      <c r="K15" s="69">
        <f t="shared" si="0"/>
        <v>301558.8877739993</v>
      </c>
      <c r="L15" s="69">
        <f t="shared" si="0"/>
        <v>309989.68901954778</v>
      </c>
    </row>
    <row r="16" spans="1:12" ht="15" customHeight="1" x14ac:dyDescent="0.25">
      <c r="A16" s="2" t="s">
        <v>78</v>
      </c>
      <c r="B16" s="29">
        <f>Land!C60</f>
        <v>80434.625</v>
      </c>
      <c r="C16" s="29">
        <f>Land!D60</f>
        <v>85499.247315217392</v>
      </c>
      <c r="D16" s="29">
        <f>Land!E60</f>
        <v>89326.466827934782</v>
      </c>
      <c r="E16" s="29">
        <f>Land!F60</f>
        <v>93217.983893527155</v>
      </c>
      <c r="F16" s="29">
        <f>Land!G60</f>
        <v>97176.629523264346</v>
      </c>
      <c r="G16" s="29">
        <f>Land!H60</f>
        <v>101205.35807263455</v>
      </c>
      <c r="H16" s="29">
        <f>Land!I60</f>
        <v>105307.25266165481</v>
      </c>
      <c r="I16" s="29">
        <f>Land!J60</f>
        <v>109485.53083776771</v>
      </c>
      <c r="J16" s="29">
        <f>Land!K60</f>
        <v>113743.55049242168</v>
      </c>
      <c r="K16" s="29">
        <f>Land!L60</f>
        <v>115482.77262779366</v>
      </c>
      <c r="L16" s="29">
        <f>Land!M60</f>
        <v>116993.72587132563</v>
      </c>
    </row>
    <row r="17" spans="1:12" ht="15" customHeight="1" x14ac:dyDescent="0.25">
      <c r="A17" s="2" t="s">
        <v>79</v>
      </c>
      <c r="B17" s="29">
        <f>'POH '!C31</f>
        <v>65200</v>
      </c>
      <c r="C17" s="29">
        <f>'POH '!D31</f>
        <v>69892</v>
      </c>
      <c r="D17" s="29">
        <f>'POH '!E31</f>
        <v>73661.080000000016</v>
      </c>
      <c r="E17" s="29">
        <f>'POH '!F31</f>
        <v>77468.352400000003</v>
      </c>
      <c r="F17" s="29">
        <f>'POH '!G31</f>
        <v>81314.962972000008</v>
      </c>
      <c r="G17" s="29">
        <f>'POH '!H31</f>
        <v>85202.091861160006</v>
      </c>
      <c r="H17" s="29">
        <f>'POH '!I31</f>
        <v>89130.954616994815</v>
      </c>
      <c r="I17" s="29">
        <f>'POH '!J31</f>
        <v>93102.803255504667</v>
      </c>
      <c r="J17" s="29">
        <f>'POH '!K31</f>
        <v>97118.927353169798</v>
      </c>
      <c r="K17" s="29">
        <f>'POH '!L31</f>
        <v>101180.6551737649</v>
      </c>
      <c r="L17" s="29">
        <f>'POH '!M31</f>
        <v>105289.35482897784</v>
      </c>
    </row>
    <row r="18" spans="1:12" ht="15" customHeight="1" x14ac:dyDescent="0.25">
      <c r="A18" s="6" t="s">
        <v>80</v>
      </c>
      <c r="B18" s="69">
        <f t="shared" ref="B18:L18" si="1">B16+B17</f>
        <v>145634.625</v>
      </c>
      <c r="C18" s="69">
        <f t="shared" si="1"/>
        <v>155391.24731521739</v>
      </c>
      <c r="D18" s="69">
        <f t="shared" si="1"/>
        <v>162987.5468279348</v>
      </c>
      <c r="E18" s="69">
        <f t="shared" si="1"/>
        <v>170686.33629352716</v>
      </c>
      <c r="F18" s="69">
        <f t="shared" si="1"/>
        <v>178491.59249526437</v>
      </c>
      <c r="G18" s="69">
        <f t="shared" si="1"/>
        <v>186407.44993379456</v>
      </c>
      <c r="H18" s="69">
        <f t="shared" si="1"/>
        <v>194438.20727864961</v>
      </c>
      <c r="I18" s="69">
        <f t="shared" si="1"/>
        <v>202588.33409327239</v>
      </c>
      <c r="J18" s="69">
        <f t="shared" si="1"/>
        <v>210862.47784559149</v>
      </c>
      <c r="K18" s="69">
        <f t="shared" si="1"/>
        <v>216663.42780155857</v>
      </c>
      <c r="L18" s="69">
        <f t="shared" si="1"/>
        <v>222283.08070030349</v>
      </c>
    </row>
    <row r="19" spans="1:12" ht="15" customHeight="1" x14ac:dyDescent="0.25">
      <c r="A19" s="13" t="s">
        <v>81</v>
      </c>
      <c r="B19" s="70">
        <f t="shared" ref="B19:L19" si="2">B15-B18</f>
        <v>116632.75</v>
      </c>
      <c r="C19" s="70">
        <f t="shared" si="2"/>
        <v>120177.20061956521</v>
      </c>
      <c r="D19" s="70">
        <f t="shared" si="2"/>
        <v>127552.36074163043</v>
      </c>
      <c r="E19" s="70">
        <f t="shared" si="2"/>
        <v>135458.50901332067</v>
      </c>
      <c r="F19" s="70">
        <f t="shared" si="2"/>
        <v>143916.92585226108</v>
      </c>
      <c r="G19" s="70">
        <f t="shared" si="2"/>
        <v>152949.68287592655</v>
      </c>
      <c r="H19" s="70">
        <f t="shared" si="2"/>
        <v>64378.307773772191</v>
      </c>
      <c r="I19" s="70">
        <f t="shared" si="2"/>
        <v>72665.237650482683</v>
      </c>
      <c r="J19" s="70">
        <f t="shared" si="2"/>
        <v>81558.472223264864</v>
      </c>
      <c r="K19" s="70">
        <f t="shared" si="2"/>
        <v>84895.459972440731</v>
      </c>
      <c r="L19" s="70">
        <f t="shared" si="2"/>
        <v>87706.608319244289</v>
      </c>
    </row>
    <row r="20" spans="1:12" ht="15" customHeight="1" x14ac:dyDescent="0.25">
      <c r="A20" s="4" t="s">
        <v>82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</row>
    <row r="21" spans="1:12" ht="15" customHeight="1" x14ac:dyDescent="0.25">
      <c r="A21" s="2" t="s">
        <v>83</v>
      </c>
      <c r="B21" s="72"/>
      <c r="C21" s="29">
        <f>'Loan Amortization '!B12</f>
        <v>58373.773645537047</v>
      </c>
      <c r="D21" s="29">
        <f>'Loan Amortization '!C12</f>
        <v>58373.773645537047</v>
      </c>
      <c r="E21" s="29">
        <f>'Loan Amortization '!D12</f>
        <v>58373.773645537047</v>
      </c>
      <c r="F21" s="29">
        <f>'Loan Amortization '!E12</f>
        <v>58373.773645537047</v>
      </c>
      <c r="G21" s="29">
        <f>'Loan Amortization '!F12</f>
        <v>58373.773645537047</v>
      </c>
      <c r="H21" s="29">
        <f>'Loan Amortization '!G12</f>
        <v>58373.773645537047</v>
      </c>
      <c r="I21" s="29">
        <f>'Loan Amortization '!H12</f>
        <v>58373.773645537047</v>
      </c>
      <c r="J21" s="29">
        <f>'Loan Amortization '!I12</f>
        <v>58373.773645537047</v>
      </c>
      <c r="K21" s="29">
        <f>'Loan Amortization '!J12</f>
        <v>58373.773645537047</v>
      </c>
      <c r="L21" s="29">
        <f>'Loan Amortization '!K12</f>
        <v>58373.773645537047</v>
      </c>
    </row>
    <row r="22" spans="1:12" ht="15" customHeight="1" x14ac:dyDescent="0.25">
      <c r="A22" s="2" t="s">
        <v>84</v>
      </c>
      <c r="B22" s="72"/>
      <c r="C22" s="29">
        <f>'Loan Amortization '!B13</f>
        <v>50420.54463466267</v>
      </c>
      <c r="D22" s="29">
        <f>'Loan Amortization '!C13</f>
        <v>49874.157801615598</v>
      </c>
      <c r="E22" s="29">
        <f>'Loan Amortization '!D13</f>
        <v>49290.234193138196</v>
      </c>
      <c r="F22" s="29">
        <f>'Loan Amortization '!E13</f>
        <v>48666.195032758391</v>
      </c>
      <c r="G22" s="29">
        <f>'Loan Amortization '!F13</f>
        <v>47999.284382060498</v>
      </c>
      <c r="H22" s="29">
        <f>'Loan Amortization '!G13</f>
        <v>47286.556969659658</v>
      </c>
      <c r="I22" s="29">
        <f>'Loan Amortization '!H13</f>
        <v>46524.865184026879</v>
      </c>
      <c r="J22" s="29">
        <f>'Loan Amortization '!I13</f>
        <v>45710.845172721129</v>
      </c>
      <c r="K22" s="29">
        <f>'Loan Amortization '!J13</f>
        <v>44840.901986638681</v>
      </c>
      <c r="L22" s="29">
        <f>'Loan Amortization '!K13</f>
        <v>43911.193703672354</v>
      </c>
    </row>
    <row r="23" spans="1:12" ht="15" customHeight="1" x14ac:dyDescent="0.25">
      <c r="A23" s="2" t="s">
        <v>85</v>
      </c>
      <c r="B23" s="72"/>
      <c r="C23" s="29">
        <f>'Loan Amortization '!B14</f>
        <v>7953.2290108743764</v>
      </c>
      <c r="D23" s="29">
        <f>'Loan Amortization '!C14</f>
        <v>8499.6158439214487</v>
      </c>
      <c r="E23" s="29">
        <f>'Loan Amortization '!D14</f>
        <v>9083.5394523988507</v>
      </c>
      <c r="F23" s="29">
        <f>'Loan Amortization '!E14</f>
        <v>9707.578612778656</v>
      </c>
      <c r="G23" s="29">
        <f>'Loan Amortization '!F14</f>
        <v>10374.489263476549</v>
      </c>
      <c r="H23" s="29">
        <f>'Loan Amortization '!G14</f>
        <v>11087.216675877389</v>
      </c>
      <c r="I23" s="29">
        <f>'Loan Amortization '!H14</f>
        <v>11848.908461510167</v>
      </c>
      <c r="J23" s="29">
        <f>'Loan Amortization '!I14</f>
        <v>12662.928472815918</v>
      </c>
      <c r="K23" s="29">
        <f>'Loan Amortization '!J14</f>
        <v>13532.871658898366</v>
      </c>
      <c r="L23" s="29">
        <f>'Loan Amortization '!K14</f>
        <v>14462.579941864693</v>
      </c>
    </row>
    <row r="24" spans="1:12" ht="15" customHeight="1" x14ac:dyDescent="0.25">
      <c r="A24" s="6" t="s">
        <v>86</v>
      </c>
      <c r="B24" s="73"/>
      <c r="C24" s="69">
        <f t="shared" ref="C24:L24" si="3">C19-C21</f>
        <v>61803.42697402816</v>
      </c>
      <c r="D24" s="69">
        <f>D19-D21</f>
        <v>69178.587096093383</v>
      </c>
      <c r="E24" s="69">
        <f t="shared" si="3"/>
        <v>77084.735367783622</v>
      </c>
      <c r="F24" s="69">
        <f t="shared" si="3"/>
        <v>85543.152206724029</v>
      </c>
      <c r="G24" s="69">
        <f t="shared" si="3"/>
        <v>94575.909230389501</v>
      </c>
      <c r="H24" s="69">
        <f t="shared" si="3"/>
        <v>6004.5341282351437</v>
      </c>
      <c r="I24" s="69">
        <f t="shared" si="3"/>
        <v>14291.464004945636</v>
      </c>
      <c r="J24" s="69">
        <f t="shared" si="3"/>
        <v>23184.698577727817</v>
      </c>
      <c r="K24" s="69">
        <f t="shared" si="3"/>
        <v>26521.686326903684</v>
      </c>
      <c r="L24" s="69">
        <f t="shared" si="3"/>
        <v>29332.834673707242</v>
      </c>
    </row>
    <row r="25" spans="1:12" ht="15" customHeight="1" x14ac:dyDescent="0.25">
      <c r="A25" s="2" t="s">
        <v>87</v>
      </c>
      <c r="B25" s="72"/>
      <c r="C25" s="74">
        <f t="shared" ref="C25:L25" si="4">IF(C21=0,0,C19/C21)</f>
        <v>2.0587533255827695</v>
      </c>
      <c r="D25" s="74">
        <f t="shared" si="4"/>
        <v>2.1850970525936249</v>
      </c>
      <c r="E25" s="74">
        <f t="shared" si="4"/>
        <v>2.3205371274412565</v>
      </c>
      <c r="F25" s="74">
        <f t="shared" si="4"/>
        <v>2.4654381045530402</v>
      </c>
      <c r="G25" s="74">
        <f t="shared" si="4"/>
        <v>2.620178092385848</v>
      </c>
      <c r="H25" s="74">
        <f t="shared" si="4"/>
        <v>1.1028635593219733</v>
      </c>
      <c r="I25" s="74">
        <f t="shared" si="4"/>
        <v>1.2448267965632591</v>
      </c>
      <c r="J25" s="74">
        <f t="shared" si="4"/>
        <v>1.3971766279581685</v>
      </c>
      <c r="K25" s="74">
        <f t="shared" si="4"/>
        <v>1.4543425012737958</v>
      </c>
      <c r="L25" s="74">
        <f t="shared" si="4"/>
        <v>1.5025002298433703</v>
      </c>
    </row>
    <row r="26" spans="1:12" ht="15" customHeight="1" x14ac:dyDescent="0.25">
      <c r="A26" s="45" t="s">
        <v>146</v>
      </c>
      <c r="B26" s="46">
        <f>B18/B15</f>
        <v>0.55529066472717015</v>
      </c>
      <c r="C26" s="46">
        <f t="shared" ref="C26:L26" si="5">C18/C15</f>
        <v>0.5638934663230859</v>
      </c>
      <c r="D26" s="46">
        <f t="shared" si="5"/>
        <v>0.5609816158866574</v>
      </c>
      <c r="E26" s="46">
        <f t="shared" si="5"/>
        <v>0.55753457525129613</v>
      </c>
      <c r="F26" s="46">
        <f t="shared" si="5"/>
        <v>0.55361934420996772</v>
      </c>
      <c r="G26" s="46">
        <f t="shared" si="5"/>
        <v>0.5492958064279555</v>
      </c>
      <c r="H26" s="46">
        <f t="shared" si="5"/>
        <v>0.75125888793946272</v>
      </c>
      <c r="I26" s="46">
        <f t="shared" si="5"/>
        <v>0.73600619534147316</v>
      </c>
      <c r="J26" s="46">
        <f t="shared" si="5"/>
        <v>0.7210922397863071</v>
      </c>
      <c r="K26" s="46">
        <f t="shared" si="5"/>
        <v>0.71847800408368367</v>
      </c>
      <c r="L26" s="46">
        <f t="shared" si="5"/>
        <v>0.71706604630416093</v>
      </c>
    </row>
    <row r="28" spans="1:12" ht="15" customHeight="1" x14ac:dyDescent="0.25">
      <c r="A28" s="4" t="s">
        <v>88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" customHeight="1" x14ac:dyDescent="0.25">
      <c r="A29" s="2" t="s">
        <v>50</v>
      </c>
      <c r="B29" s="75">
        <v>10</v>
      </c>
    </row>
    <row r="30" spans="1:12" ht="15" customHeight="1" x14ac:dyDescent="0.25">
      <c r="A30" s="2" t="s">
        <v>89</v>
      </c>
      <c r="B30" s="24">
        <f>INDEX(C19:L19,B29)</f>
        <v>87706.608319244289</v>
      </c>
    </row>
    <row r="31" spans="1:12" ht="15" customHeight="1" x14ac:dyDescent="0.25">
      <c r="A31" s="2" t="s">
        <v>90</v>
      </c>
      <c r="B31" s="24">
        <f>B30/B9</f>
        <v>877066.08319244289</v>
      </c>
    </row>
    <row r="32" spans="1:12" ht="15" customHeight="1" x14ac:dyDescent="0.25">
      <c r="A32" s="2" t="s">
        <v>91</v>
      </c>
      <c r="B32" s="24">
        <f>B31*B10</f>
        <v>17541.321663848859</v>
      </c>
    </row>
    <row r="33" spans="1:12" ht="15" customHeight="1" x14ac:dyDescent="0.25">
      <c r="A33" s="2" t="s">
        <v>92</v>
      </c>
      <c r="B33" s="76">
        <f>INDEX('Loan Amortization '!B15:K15,B29)</f>
        <v>624710.54529354081</v>
      </c>
    </row>
    <row r="34" spans="1:12" ht="15" customHeight="1" x14ac:dyDescent="0.25">
      <c r="A34" s="6" t="s">
        <v>93</v>
      </c>
      <c r="B34" s="77">
        <f>B31-B32-B33</f>
        <v>234814.21623505326</v>
      </c>
    </row>
    <row r="35" spans="1:12" ht="15" customHeight="1" x14ac:dyDescent="0.25">
      <c r="A35" s="2" t="s">
        <v>94</v>
      </c>
      <c r="B35" s="76">
        <f>B31-E6</f>
        <v>-171396.0635046392</v>
      </c>
    </row>
    <row r="37" spans="1:12" ht="15" customHeight="1" x14ac:dyDescent="0.25">
      <c r="A37" s="4" t="s">
        <v>95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" customHeight="1" x14ac:dyDescent="0.25">
      <c r="A38" s="9" t="s">
        <v>96</v>
      </c>
      <c r="B38" s="15">
        <v>0</v>
      </c>
      <c r="C38" s="15">
        <v>1</v>
      </c>
      <c r="D38" s="15">
        <v>2</v>
      </c>
      <c r="E38" s="15">
        <v>3</v>
      </c>
      <c r="F38" s="15">
        <v>4</v>
      </c>
      <c r="G38" s="15">
        <v>5</v>
      </c>
      <c r="H38" s="15">
        <v>6</v>
      </c>
      <c r="I38" s="15">
        <v>7</v>
      </c>
      <c r="J38" s="15">
        <v>8</v>
      </c>
      <c r="K38" s="15">
        <v>9</v>
      </c>
      <c r="L38" s="15">
        <v>10</v>
      </c>
    </row>
    <row r="39" spans="1:12" ht="15" customHeight="1" x14ac:dyDescent="0.25">
      <c r="A39" s="2" t="s">
        <v>97</v>
      </c>
      <c r="B39" s="12">
        <f>-E8</f>
        <v>-314538.64400912472</v>
      </c>
      <c r="C39" s="12">
        <f t="shared" ref="C39:L39" si="6">IF(C$38&lt;=$B$29,C24,0)+IF(C$38=$B$29,$B$34,0)</f>
        <v>61803.42697402816</v>
      </c>
      <c r="D39" s="12">
        <f t="shared" si="6"/>
        <v>69178.587096093383</v>
      </c>
      <c r="E39" s="12">
        <f t="shared" si="6"/>
        <v>77084.735367783622</v>
      </c>
      <c r="F39" s="12">
        <f t="shared" si="6"/>
        <v>85543.152206724029</v>
      </c>
      <c r="G39" s="12">
        <f t="shared" si="6"/>
        <v>94575.909230389501</v>
      </c>
      <c r="H39" s="12">
        <f t="shared" si="6"/>
        <v>6004.5341282351437</v>
      </c>
      <c r="I39" s="12">
        <f t="shared" si="6"/>
        <v>14291.464004945636</v>
      </c>
      <c r="J39" s="12">
        <f t="shared" si="6"/>
        <v>23184.698577727817</v>
      </c>
      <c r="K39" s="12">
        <f t="shared" si="6"/>
        <v>26521.686326903684</v>
      </c>
      <c r="L39" s="12">
        <f t="shared" si="6"/>
        <v>264147.05090876052</v>
      </c>
    </row>
    <row r="40" spans="1:12" ht="15" customHeight="1" x14ac:dyDescent="0.25">
      <c r="A40" s="2" t="s">
        <v>98</v>
      </c>
      <c r="B40" s="12">
        <f>-E6</f>
        <v>-1048462.1466970821</v>
      </c>
      <c r="C40" s="12">
        <f t="shared" ref="C40:L40" si="7">IF(C$38&lt;=$B$29,C19,0)+IF(C$38=$B$29,$B$31-$B$32,0)</f>
        <v>120177.20061956521</v>
      </c>
      <c r="D40" s="12">
        <f t="shared" si="7"/>
        <v>127552.36074163043</v>
      </c>
      <c r="E40" s="12">
        <f t="shared" si="7"/>
        <v>135458.50901332067</v>
      </c>
      <c r="F40" s="12">
        <f t="shared" si="7"/>
        <v>143916.92585226108</v>
      </c>
      <c r="G40" s="12">
        <f t="shared" si="7"/>
        <v>152949.68287592655</v>
      </c>
      <c r="H40" s="12">
        <f t="shared" si="7"/>
        <v>64378.307773772191</v>
      </c>
      <c r="I40" s="12">
        <f t="shared" si="7"/>
        <v>72665.237650482683</v>
      </c>
      <c r="J40" s="12">
        <f t="shared" si="7"/>
        <v>81558.472223264864</v>
      </c>
      <c r="K40" s="12">
        <f t="shared" si="7"/>
        <v>84895.459972440731</v>
      </c>
      <c r="L40" s="12">
        <f t="shared" si="7"/>
        <v>947231.3698478383</v>
      </c>
    </row>
    <row r="42" spans="1:12" ht="15" customHeight="1" x14ac:dyDescent="0.25">
      <c r="A42" s="10" t="s">
        <v>99</v>
      </c>
      <c r="B42" s="16">
        <f>IFERROR(IRR(B39:L39),IFERROR(IRR(B39:L39,-0.5),"n/a"))</f>
        <v>0.17071022485890897</v>
      </c>
    </row>
    <row r="43" spans="1:12" ht="15" customHeight="1" x14ac:dyDescent="0.25">
      <c r="A43" s="10" t="s">
        <v>26</v>
      </c>
      <c r="B43" s="16">
        <f>IFERROR(IRR(B40:L40),IFERROR(IRR(B40:L40,-0.5),"n/a"))</f>
        <v>9.5531205925284191E-2</v>
      </c>
    </row>
    <row r="44" spans="1:12" ht="15" customHeight="1" x14ac:dyDescent="0.25">
      <c r="A44" s="10" t="s">
        <v>31</v>
      </c>
      <c r="B44" s="17">
        <f>SUM(C39:L39)/E8</f>
        <v>2.2964912533947235</v>
      </c>
    </row>
    <row r="45" spans="1:12" ht="15" customHeight="1" x14ac:dyDescent="0.25">
      <c r="A45" s="10" t="s">
        <v>27</v>
      </c>
      <c r="B45" s="16">
        <f>C24/E8</f>
        <v>0.19648913782509742</v>
      </c>
    </row>
    <row r="46" spans="1:12" ht="15" customHeight="1" x14ac:dyDescent="0.25">
      <c r="A46" s="10" t="s">
        <v>100</v>
      </c>
      <c r="B46" s="16">
        <f>SUMPRODUCT((C38:L38&lt;=B29)*C24:L24)/B29/E8</f>
        <v>0.15499559048534442</v>
      </c>
    </row>
    <row r="47" spans="1:12" ht="15" customHeight="1" x14ac:dyDescent="0.25">
      <c r="A47" s="10" t="s">
        <v>29</v>
      </c>
      <c r="B47" s="17">
        <f>C25</f>
        <v>2.0587533255827695</v>
      </c>
    </row>
    <row r="48" spans="1:12" ht="15" customHeight="1" x14ac:dyDescent="0.25">
      <c r="A48" s="10" t="s">
        <v>101</v>
      </c>
      <c r="B48" s="16">
        <f>C19/E6</f>
        <v>0.11462235522584524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B4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9"/>
  <sheetViews>
    <sheetView showGridLines="0" topLeftCell="A3" zoomScaleNormal="100" workbookViewId="0">
      <selection activeCell="A3" sqref="A3"/>
    </sheetView>
  </sheetViews>
  <sheetFormatPr defaultColWidth="8.7109375" defaultRowHeight="15" x14ac:dyDescent="0.25"/>
  <cols>
    <col min="1" max="1" width="36" customWidth="1"/>
    <col min="2" max="12" width="14" customWidth="1"/>
    <col min="16" max="16" width="10.140625" customWidth="1"/>
  </cols>
  <sheetData>
    <row r="1" spans="1:16" ht="18" customHeight="1" x14ac:dyDescent="0.3">
      <c r="A1" s="1" t="s">
        <v>120</v>
      </c>
    </row>
    <row r="2" spans="1:16" ht="15" customHeight="1" x14ac:dyDescent="0.25">
      <c r="A2" s="9" t="s">
        <v>121</v>
      </c>
      <c r="B2" s="15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</row>
    <row r="3" spans="1:16" ht="15" customHeight="1" x14ac:dyDescent="0.25">
      <c r="A3" s="114" t="s">
        <v>122</v>
      </c>
      <c r="B3" s="103">
        <f>INDEX('Cash Flow Model'!$C$19:$L$19,B$2)</f>
        <v>120177.20061956521</v>
      </c>
      <c r="C3" s="103">
        <f>INDEX('Cash Flow Model'!$C$19:$L$19,C$2)</f>
        <v>127552.36074163043</v>
      </c>
      <c r="D3" s="103">
        <f>INDEX('Cash Flow Model'!$C$19:$L$19,D$2)</f>
        <v>135458.50901332067</v>
      </c>
      <c r="E3" s="103">
        <f>INDEX('Cash Flow Model'!$C$19:$L$19,E$2)</f>
        <v>143916.92585226108</v>
      </c>
      <c r="F3" s="103">
        <f>INDEX('Cash Flow Model'!$C$19:$L$19,F$2)</f>
        <v>152949.68287592655</v>
      </c>
      <c r="G3" s="103">
        <f>INDEX('Cash Flow Model'!$C$19:$L$19,G$2)</f>
        <v>64378.307773772191</v>
      </c>
      <c r="H3" s="103">
        <f>INDEX('Cash Flow Model'!$C$19:$L$19,H$2)</f>
        <v>72665.237650482683</v>
      </c>
      <c r="I3" s="103">
        <f>INDEX('Cash Flow Model'!$C$19:$L$19,I$2)</f>
        <v>81558.472223264864</v>
      </c>
      <c r="J3" s="103">
        <f>INDEX('Cash Flow Model'!$C$19:$L$19,J$2)</f>
        <v>84895.459972440731</v>
      </c>
      <c r="K3" s="103">
        <f>INDEX('Cash Flow Model'!$C$19:$L$19,K$2)</f>
        <v>87706.608319244289</v>
      </c>
    </row>
    <row r="4" spans="1:16" ht="15" customHeight="1" x14ac:dyDescent="0.25">
      <c r="A4" s="114" t="s">
        <v>123</v>
      </c>
      <c r="B4" s="103">
        <f>B3/'Cash Flow Model'!$B$9</f>
        <v>1201772.0061956521</v>
      </c>
      <c r="C4" s="103">
        <f>C3/'Cash Flow Model'!$B$9</f>
        <v>1275523.6074163043</v>
      </c>
      <c r="D4" s="103">
        <f>D3/'Cash Flow Model'!$B$9</f>
        <v>1354585.0901332067</v>
      </c>
      <c r="E4" s="103">
        <f>E3/'Cash Flow Model'!$B$9</f>
        <v>1439169.2585226106</v>
      </c>
      <c r="F4" s="103">
        <f>F3/'Cash Flow Model'!$B$9</f>
        <v>1529496.8287592654</v>
      </c>
      <c r="G4" s="103">
        <f>G3/'Cash Flow Model'!$B$9</f>
        <v>643783.07773772185</v>
      </c>
      <c r="H4" s="103">
        <f>H3/'Cash Flow Model'!$B$9</f>
        <v>726652.37650482683</v>
      </c>
      <c r="I4" s="103">
        <f>I3/'Cash Flow Model'!$B$9</f>
        <v>815584.72223264864</v>
      </c>
      <c r="J4" s="103">
        <f>J3/'Cash Flow Model'!$B$9</f>
        <v>848954.59972440731</v>
      </c>
      <c r="K4" s="103">
        <f>K3/'Cash Flow Model'!$B$9</f>
        <v>877066.08319244289</v>
      </c>
    </row>
    <row r="5" spans="1:16" ht="15" customHeight="1" x14ac:dyDescent="0.25">
      <c r="A5" s="114" t="s">
        <v>124</v>
      </c>
      <c r="B5" s="103">
        <f>B4*'Cash Flow Model'!$B$10</f>
        <v>24035.440123913042</v>
      </c>
      <c r="C5" s="103">
        <f>C4*'Cash Flow Model'!$B$10</f>
        <v>25510.472148326087</v>
      </c>
      <c r="D5" s="103">
        <f>D4*'Cash Flow Model'!$B$10</f>
        <v>27091.701802664134</v>
      </c>
      <c r="E5" s="103">
        <f>E4*'Cash Flow Model'!$B$10</f>
        <v>28783.385170452213</v>
      </c>
      <c r="F5" s="103">
        <f>F4*'Cash Flow Model'!$B$10</f>
        <v>30589.936575185307</v>
      </c>
      <c r="G5" s="103">
        <f>G4*'Cash Flow Model'!$B$10</f>
        <v>12875.661554754437</v>
      </c>
      <c r="H5" s="103">
        <f>H4*'Cash Flow Model'!$B$10</f>
        <v>14533.047530096537</v>
      </c>
      <c r="I5" s="103">
        <f>I4*'Cash Flow Model'!$B$10</f>
        <v>16311.694444652972</v>
      </c>
      <c r="J5" s="103">
        <f>J4*'Cash Flow Model'!$B$10</f>
        <v>16979.091994488146</v>
      </c>
      <c r="K5" s="103">
        <f>K4*'Cash Flow Model'!$B$10</f>
        <v>17541.321663848859</v>
      </c>
    </row>
    <row r="6" spans="1:16" ht="15" customHeight="1" x14ac:dyDescent="0.25">
      <c r="A6" s="114" t="s">
        <v>125</v>
      </c>
      <c r="B6" s="103">
        <f>INDEX('Loan Amortization '!$B$15:$K$15,B$2)</f>
        <v>725970.27367708297</v>
      </c>
      <c r="C6" s="103">
        <f>INDEX('Loan Amortization '!$B$15:$K$15,C$2)</f>
        <v>717470.65783316153</v>
      </c>
      <c r="D6" s="103">
        <f>INDEX('Loan Amortization '!$B$15:$K$15,D$2)</f>
        <v>708387.11838076264</v>
      </c>
      <c r="E6" s="103">
        <f>INDEX('Loan Amortization '!$B$15:$K$15,E$2)</f>
        <v>698679.53976798395</v>
      </c>
      <c r="F6" s="103">
        <f>INDEX('Loan Amortization '!$B$15:$K$15,F$2)</f>
        <v>688305.05050450738</v>
      </c>
      <c r="G6" s="103">
        <f>INDEX('Loan Amortization '!$B$15:$K$15,G$2)</f>
        <v>677217.83382863004</v>
      </c>
      <c r="H6" s="103">
        <f>INDEX('Loan Amortization '!$B$15:$K$15,H$2)</f>
        <v>665368.92536711984</v>
      </c>
      <c r="I6" s="103">
        <f>INDEX('Loan Amortization '!$B$15:$K$15,I$2)</f>
        <v>652705.99689430394</v>
      </c>
      <c r="J6" s="103">
        <f>INDEX('Loan Amortization '!$B$15:$K$15,J$2)</f>
        <v>639173.12523540552</v>
      </c>
      <c r="K6" s="103">
        <f>INDEX('Loan Amortization '!$B$15:$K$15,K$2)</f>
        <v>624710.54529354081</v>
      </c>
    </row>
    <row r="7" spans="1:16" ht="15" customHeight="1" x14ac:dyDescent="0.25">
      <c r="A7" s="115" t="s">
        <v>93</v>
      </c>
      <c r="B7" s="116">
        <f t="shared" ref="B7:K7" si="0">B4-B5-B6</f>
        <v>451766.29239465599</v>
      </c>
      <c r="C7" s="116">
        <f t="shared" si="0"/>
        <v>532542.47743481677</v>
      </c>
      <c r="D7" s="116">
        <f t="shared" si="0"/>
        <v>619106.26994977985</v>
      </c>
      <c r="E7" s="116">
        <f t="shared" si="0"/>
        <v>711706.3335841744</v>
      </c>
      <c r="F7" s="116">
        <f t="shared" si="0"/>
        <v>810601.84167957271</v>
      </c>
      <c r="G7" s="116">
        <f t="shared" si="0"/>
        <v>-46310.417645662674</v>
      </c>
      <c r="H7" s="116">
        <f t="shared" si="0"/>
        <v>46750.403607610497</v>
      </c>
      <c r="I7" s="116">
        <f t="shared" si="0"/>
        <v>146567.0308936917</v>
      </c>
      <c r="J7" s="116">
        <f t="shared" si="0"/>
        <v>192802.38249451364</v>
      </c>
      <c r="K7" s="116">
        <f t="shared" si="0"/>
        <v>234814.21623505326</v>
      </c>
    </row>
    <row r="8" spans="1:16" ht="15" customHeight="1" x14ac:dyDescent="0.25">
      <c r="A8" s="114" t="s">
        <v>126</v>
      </c>
      <c r="B8" s="103">
        <f>INDEX('Cash Flow Model'!$C$24:$L$24,B$2)</f>
        <v>61803.42697402816</v>
      </c>
      <c r="C8" s="103">
        <f>INDEX('Cash Flow Model'!$C$24:$L$24,C$2)</f>
        <v>69178.587096093383</v>
      </c>
      <c r="D8" s="103">
        <f>INDEX('Cash Flow Model'!$C$24:$L$24,D$2)</f>
        <v>77084.735367783622</v>
      </c>
      <c r="E8" s="103">
        <f>INDEX('Cash Flow Model'!$C$24:$L$24,E$2)</f>
        <v>85543.152206724029</v>
      </c>
      <c r="F8" s="103">
        <f>INDEX('Cash Flow Model'!$C$24:$L$24,F$2)</f>
        <v>94575.909230389501</v>
      </c>
      <c r="G8" s="103">
        <f>INDEX('Cash Flow Model'!$C$24:$L$24,G$2)</f>
        <v>6004.5341282351437</v>
      </c>
      <c r="H8" s="103">
        <f>INDEX('Cash Flow Model'!$C$24:$L$24,H$2)</f>
        <v>14291.464004945636</v>
      </c>
      <c r="I8" s="103">
        <f>INDEX('Cash Flow Model'!$C$24:$L$24,I$2)</f>
        <v>23184.698577727817</v>
      </c>
      <c r="J8" s="103">
        <f>INDEX('Cash Flow Model'!$C$24:$L$24,J$2)</f>
        <v>26521.686326903684</v>
      </c>
      <c r="K8" s="103">
        <f>INDEX('Cash Flow Model'!$C$24:$L$24,K$2)</f>
        <v>29332.834673707242</v>
      </c>
    </row>
    <row r="9" spans="1:16" ht="15" customHeight="1" x14ac:dyDescent="0.25">
      <c r="A9" s="115" t="s">
        <v>127</v>
      </c>
      <c r="B9" s="116">
        <f t="shared" ref="B9:K9" si="1">B7+B8</f>
        <v>513569.71936868416</v>
      </c>
      <c r="C9" s="116">
        <f t="shared" si="1"/>
        <v>601721.06453091011</v>
      </c>
      <c r="D9" s="116">
        <f t="shared" si="1"/>
        <v>696191.00531756342</v>
      </c>
      <c r="E9" s="116">
        <f t="shared" si="1"/>
        <v>797249.48579089844</v>
      </c>
      <c r="F9" s="116">
        <f t="shared" si="1"/>
        <v>905177.75090996223</v>
      </c>
      <c r="G9" s="116">
        <f t="shared" si="1"/>
        <v>-40305.88351742753</v>
      </c>
      <c r="H9" s="116">
        <f t="shared" si="1"/>
        <v>61041.867612556132</v>
      </c>
      <c r="I9" s="116">
        <f t="shared" si="1"/>
        <v>169751.72947141953</v>
      </c>
      <c r="J9" s="116">
        <f t="shared" si="1"/>
        <v>219324.06882141734</v>
      </c>
      <c r="K9" s="116">
        <f t="shared" si="1"/>
        <v>264147.05090876052</v>
      </c>
    </row>
    <row r="10" spans="1:16" ht="15" customHeight="1" x14ac:dyDescent="0.25">
      <c r="A10" s="114" t="s">
        <v>42</v>
      </c>
      <c r="B10" s="103">
        <f>'Cash Flow Model'!$E$8</f>
        <v>314538.64400912472</v>
      </c>
      <c r="C10" s="103">
        <f>'Cash Flow Model'!$E$8</f>
        <v>314538.64400912472</v>
      </c>
      <c r="D10" s="103">
        <f>'Cash Flow Model'!$E$8</f>
        <v>314538.64400912472</v>
      </c>
      <c r="E10" s="103">
        <f>'Cash Flow Model'!$E$8</f>
        <v>314538.64400912472</v>
      </c>
      <c r="F10" s="103">
        <f>'Cash Flow Model'!$E$8</f>
        <v>314538.64400912472</v>
      </c>
      <c r="G10" s="103">
        <f>'Cash Flow Model'!$E$8</f>
        <v>314538.64400912472</v>
      </c>
      <c r="H10" s="103">
        <f>'Cash Flow Model'!$E$8</f>
        <v>314538.64400912472</v>
      </c>
      <c r="I10" s="103">
        <f>'Cash Flow Model'!$E$8</f>
        <v>314538.64400912472</v>
      </c>
      <c r="J10" s="103">
        <f>'Cash Flow Model'!$E$8</f>
        <v>314538.64400912472</v>
      </c>
      <c r="K10" s="103">
        <f>'Cash Flow Model'!$E$8</f>
        <v>314538.64400912472</v>
      </c>
    </row>
    <row r="11" spans="1:16" ht="15" customHeight="1" x14ac:dyDescent="0.25">
      <c r="A11" s="117" t="s">
        <v>99</v>
      </c>
      <c r="B11" s="118">
        <f>IFERROR(IRR($B17:$L17),IFERROR(IRR($B17:$L17,-0.5),"n/a"))</f>
        <v>0.63277145479709485</v>
      </c>
      <c r="C11" s="118">
        <f>IFERROR(IRR($B18:$L18),IFERROR(IRR($B18:$L18,-0.5),"n/a"))</f>
        <v>0.48485174453460078</v>
      </c>
      <c r="D11" s="118">
        <f>IFERROR(IRR($B19:$L19),IFERROR(IRR($B19:$L19,-0.5),"n/a"))</f>
        <v>0.43102203468391087</v>
      </c>
      <c r="E11" s="118">
        <f>IFERROR(IRR($B20:$L20),IFERROR(IRR($B20:$L20,-0.5),"n/a"))</f>
        <v>0.40071442167186344</v>
      </c>
      <c r="F11" s="118">
        <f>IFERROR(IRR($B21:$L21),IFERROR(IRR($B21:$L21,-0.5),"n/a"))</f>
        <v>0.38039972038463099</v>
      </c>
      <c r="G11" s="118">
        <f>IFERROR(IRR($B22:$L22),IFERROR(IRR($B22:$L22,-0.5),"n/a"))</f>
        <v>3.577104088325167E-2</v>
      </c>
      <c r="H11" s="118">
        <f>IFERROR(IRR($B23:$L23),IFERROR(IRR($B23:$L23,-0.5),"n/a"))</f>
        <v>0.10869314624066573</v>
      </c>
      <c r="I11" s="118">
        <f>IFERROR(IRR($B24:$L24),IFERROR(IRR($B24:$L24,-0.5),"n/a"))</f>
        <v>0.15148093902077187</v>
      </c>
      <c r="J11" s="118">
        <f>IFERROR(IRR($B25:$L25),IFERROR(IRR($B25:$L25,-0.5),"n/a"))</f>
        <v>0.16355405105871323</v>
      </c>
      <c r="K11" s="118">
        <f>IFERROR(IRR($B26:$L26),IFERROR(IRR($B26:$L26,-0.5),"n/a"))</f>
        <v>0.17071022485890897</v>
      </c>
    </row>
    <row r="12" spans="1:16" ht="15" customHeight="1" x14ac:dyDescent="0.25">
      <c r="A12" s="114" t="s">
        <v>31</v>
      </c>
      <c r="B12" s="119">
        <f>SUM($C17:$L17)/B10</f>
        <v>1.6327714547970951</v>
      </c>
      <c r="C12" s="119">
        <f>SUM($C18:$L18)/C10</f>
        <v>2.1095166019908493</v>
      </c>
      <c r="D12" s="119">
        <f>SUM($C19:$L19)/D10</f>
        <v>2.6297977534477095</v>
      </c>
      <c r="E12" s="119">
        <f>SUM($C20:$L20)/E10</f>
        <v>3.1961612805822344</v>
      </c>
      <c r="F12" s="119">
        <f>SUM($C21:$L21)/F10</f>
        <v>3.8112571392652623</v>
      </c>
      <c r="G12" s="119">
        <f>SUM($C22:$L22)/G10</f>
        <v>1.1060005947870089</v>
      </c>
      <c r="H12" s="119">
        <f>SUM($C23:$L23)/H10</f>
        <v>1.4473013770689613</v>
      </c>
      <c r="I12" s="119">
        <f>SUM($C24:$L24)/I10</f>
        <v>1.8383545217510522</v>
      </c>
      <c r="J12" s="119">
        <f>SUM($C25:$L25)/J10</f>
        <v>2.0696680322321841</v>
      </c>
      <c r="K12" s="119">
        <f>SUM($C26:$L26)/K10</f>
        <v>2.2964912533947235</v>
      </c>
    </row>
    <row r="13" spans="1:16" ht="15" customHeight="1" x14ac:dyDescent="0.25">
      <c r="A13" s="117" t="s">
        <v>26</v>
      </c>
      <c r="B13" s="118">
        <f>IFERROR(IRR($B30:$L30),IFERROR(IRR($B30:$L30,-0.5),"n/a"))</f>
        <v>0.23792143643912844</v>
      </c>
      <c r="C13" s="118">
        <f>IFERROR(IRR($B31:$L31),IFERROR(IRR($B31:$L31,-0.5),"n/a"))</f>
        <v>0.20499408886382597</v>
      </c>
      <c r="D13" s="118">
        <f>IFERROR(IRR($B32:$L32),IFERROR(IRR($B32:$L32,-0.5),"n/a"))</f>
        <v>0.19446084722329227</v>
      </c>
      <c r="E13" s="118">
        <f>IFERROR(IRR($B33:$L33),IFERROR(IRR($B33:$L33,-0.5),"n/a"))</f>
        <v>0.18936535153590972</v>
      </c>
      <c r="F13" s="118">
        <f>IFERROR(IRR($B34:$L34),IFERROR(IRR($B34:$L34,-0.5),"n/a"))</f>
        <v>0.18639689091761746</v>
      </c>
      <c r="G13" s="118">
        <f>IFERROR(IRR($B35:$L35),IFERROR(IRR($B35:$L35,-0.5),"n/a"))</f>
        <v>6.2434556592100066E-2</v>
      </c>
      <c r="H13" s="118">
        <f>IFERROR(IRR($B36:$L36),IFERROR(IRR($B36:$L36,-0.5),"n/a"))</f>
        <v>7.7464958572854403E-2</v>
      </c>
      <c r="I13" s="118">
        <f>IFERROR(IRR($B37:$L37),IFERROR(IRR($B37:$L37,-0.5),"n/a"))</f>
        <v>8.9087644549046052E-2</v>
      </c>
      <c r="J13" s="118">
        <f>IFERROR(IRR($B38:$L38),IFERROR(IRR($B38:$L38,-0.5),"n/a"))</f>
        <v>9.2913410551821896E-2</v>
      </c>
      <c r="K13" s="118">
        <f>IFERROR(IRR($B39:$L39),IFERROR(IRR($B39:$L39,-0.5),"n/a"))</f>
        <v>9.5531205925284191E-2</v>
      </c>
    </row>
    <row r="15" spans="1:16" ht="15" customHeight="1" x14ac:dyDescent="0.25">
      <c r="A15" s="4" t="s">
        <v>128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6" ht="15" customHeight="1" x14ac:dyDescent="0.25">
      <c r="A16" s="9" t="s">
        <v>129</v>
      </c>
      <c r="B16" s="21">
        <v>0</v>
      </c>
      <c r="C16" s="21">
        <v>1</v>
      </c>
      <c r="D16" s="21">
        <v>2</v>
      </c>
      <c r="E16" s="21">
        <v>3</v>
      </c>
      <c r="F16" s="21">
        <v>4</v>
      </c>
      <c r="G16" s="21">
        <v>5</v>
      </c>
      <c r="H16" s="21">
        <v>6</v>
      </c>
      <c r="I16" s="21">
        <v>7</v>
      </c>
      <c r="J16" s="21">
        <v>8</v>
      </c>
      <c r="K16" s="21">
        <v>9</v>
      </c>
      <c r="L16" s="21">
        <v>10</v>
      </c>
      <c r="N16" s="47" t="s">
        <v>235</v>
      </c>
      <c r="O16" s="47" t="s">
        <v>236</v>
      </c>
      <c r="P16" s="47" t="s">
        <v>237</v>
      </c>
    </row>
    <row r="17" spans="1:16" ht="15" customHeight="1" x14ac:dyDescent="0.25">
      <c r="A17" s="51">
        <v>1</v>
      </c>
      <c r="B17" s="52">
        <f>-'Cash Flow Model'!$E$8</f>
        <v>-314538.64400912472</v>
      </c>
      <c r="C17" s="52">
        <f>IF(C$16&lt;$A17,INDEX('Cash Flow Model'!$C$24:$L$24,C$16),IF(C$16=$A17,INDEX($B$9:$K$9,$A17),0))</f>
        <v>513569.71936868416</v>
      </c>
      <c r="D17" s="52">
        <f>IF(D$16&lt;$A17,INDEX('Cash Flow Model'!$C$24:$L$24,D$16),IF(D$16=$A17,INDEX($B$9:$K$9,$A17),0))</f>
        <v>0</v>
      </c>
      <c r="E17" s="52">
        <f>IF(E$16&lt;$A17,INDEX('Cash Flow Model'!$C$24:$L$24,E$16),IF(E$16=$A17,INDEX($B$9:$K$9,$A17),0))</f>
        <v>0</v>
      </c>
      <c r="F17" s="52">
        <f>IF(F$16&lt;$A17,INDEX('Cash Flow Model'!$C$24:$L$24,F$16),IF(F$16=$A17,INDEX($B$9:$K$9,$A17),0))</f>
        <v>0</v>
      </c>
      <c r="G17" s="52">
        <f>IF(G$16&lt;$A17,INDEX('Cash Flow Model'!$C$24:$L$24,G$16),IF(G$16=$A17,INDEX($B$9:$K$9,$A17),0))</f>
        <v>0</v>
      </c>
      <c r="H17" s="52">
        <f>IF(H$16&lt;$A17,INDEX('Cash Flow Model'!$C$24:$L$24,H$16),IF(H$16=$A17,INDEX($B$9:$K$9,$A17),0))</f>
        <v>0</v>
      </c>
      <c r="I17" s="52">
        <f>IF(I$16&lt;$A17,INDEX('Cash Flow Model'!$C$24:$L$24,I$16),IF(I$16=$A17,INDEX($B$9:$K$9,$A17),0))</f>
        <v>0</v>
      </c>
      <c r="J17" s="52">
        <f>IF(J$16&lt;$A17,INDEX('Cash Flow Model'!$C$24:$L$24,J$16),IF(J$16=$A17,INDEX($B$9:$K$9,$A17),0))</f>
        <v>0</v>
      </c>
      <c r="K17" s="52">
        <f>IF(K$16&lt;$A17,INDEX('Cash Flow Model'!$C$24:$L$24,K$16),IF(K$16=$A17,INDEX($B$9:$K$9,$A17),0))</f>
        <v>0</v>
      </c>
      <c r="L17" s="52">
        <f>IF(L$16&lt;$A17,INDEX('Cash Flow Model'!$C$24:$L$24,L$16),IF(L$16=$A17,INDEX($B$9:$K$9,$A17),0))</f>
        <v>0</v>
      </c>
      <c r="N17" s="49">
        <f t="shared" ref="N17:N26" si="2">IFERROR(IRR(B17:L17),0)</f>
        <v>0.63277145479709485</v>
      </c>
      <c r="O17" s="48">
        <f>SUM(C17:L17)/'Cash Flow Model'!$E$8</f>
        <v>1.6327714547970951</v>
      </c>
      <c r="P17" s="50">
        <f>SUM(C17:L17)-'Cash Flow Model'!$E$8</f>
        <v>199031.07535955944</v>
      </c>
    </row>
    <row r="18" spans="1:16" ht="15" customHeight="1" x14ac:dyDescent="0.25">
      <c r="A18" s="51">
        <v>2</v>
      </c>
      <c r="B18" s="52">
        <f>-'Cash Flow Model'!$E$8</f>
        <v>-314538.64400912472</v>
      </c>
      <c r="C18" s="52">
        <f>IF(C$16&lt;$A18,INDEX('Cash Flow Model'!$C$24:$L$24,C$16),IF(C$16=$A18,INDEX($B$9:$K$9,$A18),0))</f>
        <v>61803.42697402816</v>
      </c>
      <c r="D18" s="52">
        <f>IF(D$16&lt;$A18,INDEX('Cash Flow Model'!$C$24:$L$24,D$16),IF(D$16=$A18,INDEX($B$9:$K$9,$A18),0))</f>
        <v>601721.06453091011</v>
      </c>
      <c r="E18" s="52">
        <f>IF(E$16&lt;$A18,INDEX('Cash Flow Model'!$C$24:$L$24,E$16),IF(E$16=$A18,INDEX($B$9:$K$9,$A18),0))</f>
        <v>0</v>
      </c>
      <c r="F18" s="52">
        <f>IF(F$16&lt;$A18,INDEX('Cash Flow Model'!$C$24:$L$24,F$16),IF(F$16=$A18,INDEX($B$9:$K$9,$A18),0))</f>
        <v>0</v>
      </c>
      <c r="G18" s="52">
        <f>IF(G$16&lt;$A18,INDEX('Cash Flow Model'!$C$24:$L$24,G$16),IF(G$16=$A18,INDEX($B$9:$K$9,$A18),0))</f>
        <v>0</v>
      </c>
      <c r="H18" s="52">
        <f>IF(H$16&lt;$A18,INDEX('Cash Flow Model'!$C$24:$L$24,H$16),IF(H$16=$A18,INDEX($B$9:$K$9,$A18),0))</f>
        <v>0</v>
      </c>
      <c r="I18" s="52">
        <f>IF(I$16&lt;$A18,INDEX('Cash Flow Model'!$C$24:$L$24,I$16),IF(I$16=$A18,INDEX($B$9:$K$9,$A18),0))</f>
        <v>0</v>
      </c>
      <c r="J18" s="52">
        <f>IF(J$16&lt;$A18,INDEX('Cash Flow Model'!$C$24:$L$24,J$16),IF(J$16=$A18,INDEX($B$9:$K$9,$A18),0))</f>
        <v>0</v>
      </c>
      <c r="K18" s="52">
        <f>IF(K$16&lt;$A18,INDEX('Cash Flow Model'!$C$24:$L$24,K$16),IF(K$16=$A18,INDEX($B$9:$K$9,$A18),0))</f>
        <v>0</v>
      </c>
      <c r="L18" s="52">
        <f>IF(L$16&lt;$A18,INDEX('Cash Flow Model'!$C$24:$L$24,L$16),IF(L$16=$A18,INDEX($B$9:$K$9,$A18),0))</f>
        <v>0</v>
      </c>
      <c r="N18" s="49">
        <f t="shared" si="2"/>
        <v>0.48485174453460078</v>
      </c>
      <c r="O18" s="48">
        <f>SUM(C18:L18)/'Cash Flow Model'!$E$8</f>
        <v>2.1095166019908493</v>
      </c>
      <c r="P18" s="50">
        <f>SUM(C18:L18)-'Cash Flow Model'!$E$8</f>
        <v>348985.8474958135</v>
      </c>
    </row>
    <row r="19" spans="1:16" ht="15" customHeight="1" x14ac:dyDescent="0.25">
      <c r="A19" s="51">
        <v>3</v>
      </c>
      <c r="B19" s="52">
        <f>-'Cash Flow Model'!$E$8</f>
        <v>-314538.64400912472</v>
      </c>
      <c r="C19" s="52">
        <f>IF(C$16&lt;$A19,INDEX('Cash Flow Model'!$C$24:$L$24,C$16),IF(C$16=$A19,INDEX($B$9:$K$9,$A19),0))</f>
        <v>61803.42697402816</v>
      </c>
      <c r="D19" s="52">
        <f>IF(D$16&lt;$A19,INDEX('Cash Flow Model'!$C$24:$L$24,D$16),IF(D$16=$A19,INDEX($B$9:$K$9,$A19),0))</f>
        <v>69178.587096093383</v>
      </c>
      <c r="E19" s="52">
        <f>IF(E$16&lt;$A19,INDEX('Cash Flow Model'!$C$24:$L$24,E$16),IF(E$16=$A19,INDEX($B$9:$K$9,$A19),0))</f>
        <v>696191.00531756342</v>
      </c>
      <c r="F19" s="52">
        <f>IF(F$16&lt;$A19,INDEX('Cash Flow Model'!$C$24:$L$24,F$16),IF(F$16=$A19,INDEX($B$9:$K$9,$A19),0))</f>
        <v>0</v>
      </c>
      <c r="G19" s="52">
        <f>IF(G$16&lt;$A19,INDEX('Cash Flow Model'!$C$24:$L$24,G$16),IF(G$16=$A19,INDEX($B$9:$K$9,$A19),0))</f>
        <v>0</v>
      </c>
      <c r="H19" s="52">
        <f>IF(H$16&lt;$A19,INDEX('Cash Flow Model'!$C$24:$L$24,H$16),IF(H$16=$A19,INDEX($B$9:$K$9,$A19),0))</f>
        <v>0</v>
      </c>
      <c r="I19" s="52">
        <f>IF(I$16&lt;$A19,INDEX('Cash Flow Model'!$C$24:$L$24,I$16),IF(I$16=$A19,INDEX($B$9:$K$9,$A19),0))</f>
        <v>0</v>
      </c>
      <c r="J19" s="52">
        <f>IF(J$16&lt;$A19,INDEX('Cash Flow Model'!$C$24:$L$24,J$16),IF(J$16=$A19,INDEX($B$9:$K$9,$A19),0))</f>
        <v>0</v>
      </c>
      <c r="K19" s="52">
        <f>IF(K$16&lt;$A19,INDEX('Cash Flow Model'!$C$24:$L$24,K$16),IF(K$16=$A19,INDEX($B$9:$K$9,$A19),0))</f>
        <v>0</v>
      </c>
      <c r="L19" s="52">
        <f>IF(L$16&lt;$A19,INDEX('Cash Flow Model'!$C$24:$L$24,L$16),IF(L$16=$A19,INDEX($B$9:$K$9,$A19),0))</f>
        <v>0</v>
      </c>
      <c r="N19" s="49">
        <f t="shared" si="2"/>
        <v>0.43102203468391087</v>
      </c>
      <c r="O19" s="48">
        <f>SUM(C19:L19)/'Cash Flow Model'!$E$8</f>
        <v>2.6297977534477095</v>
      </c>
      <c r="P19" s="50">
        <f>SUM(C19:L19)-'Cash Flow Model'!$E$8</f>
        <v>512634.37537856027</v>
      </c>
    </row>
    <row r="20" spans="1:16" ht="15" customHeight="1" x14ac:dyDescent="0.25">
      <c r="A20" s="51">
        <v>4</v>
      </c>
      <c r="B20" s="52">
        <f>-'Cash Flow Model'!$E$8</f>
        <v>-314538.64400912472</v>
      </c>
      <c r="C20" s="52">
        <f>IF(C$16&lt;$A20,INDEX('Cash Flow Model'!$C$24:$L$24,C$16),IF(C$16=$A20,INDEX($B$9:$K$9,$A20),0))</f>
        <v>61803.42697402816</v>
      </c>
      <c r="D20" s="52">
        <f>IF(D$16&lt;$A20,INDEX('Cash Flow Model'!$C$24:$L$24,D$16),IF(D$16=$A20,INDEX($B$9:$K$9,$A20),0))</f>
        <v>69178.587096093383</v>
      </c>
      <c r="E20" s="52">
        <f>IF(E$16&lt;$A20,INDEX('Cash Flow Model'!$C$24:$L$24,E$16),IF(E$16=$A20,INDEX($B$9:$K$9,$A20),0))</f>
        <v>77084.735367783622</v>
      </c>
      <c r="F20" s="52">
        <f>IF(F$16&lt;$A20,INDEX('Cash Flow Model'!$C$24:$L$24,F$16),IF(F$16=$A20,INDEX($B$9:$K$9,$A20),0))</f>
        <v>797249.48579089844</v>
      </c>
      <c r="G20" s="52">
        <f>IF(G$16&lt;$A20,INDEX('Cash Flow Model'!$C$24:$L$24,G$16),IF(G$16=$A20,INDEX($B$9:$K$9,$A20),0))</f>
        <v>0</v>
      </c>
      <c r="H20" s="52">
        <f>IF(H$16&lt;$A20,INDEX('Cash Flow Model'!$C$24:$L$24,H$16),IF(H$16=$A20,INDEX($B$9:$K$9,$A20),0))</f>
        <v>0</v>
      </c>
      <c r="I20" s="52">
        <f>IF(I$16&lt;$A20,INDEX('Cash Flow Model'!$C$24:$L$24,I$16),IF(I$16=$A20,INDEX($B$9:$K$9,$A20),0))</f>
        <v>0</v>
      </c>
      <c r="J20" s="52">
        <f>IF(J$16&lt;$A20,INDEX('Cash Flow Model'!$C$24:$L$24,J$16),IF(J$16=$A20,INDEX($B$9:$K$9,$A20),0))</f>
        <v>0</v>
      </c>
      <c r="K20" s="52">
        <f>IF(K$16&lt;$A20,INDEX('Cash Flow Model'!$C$24:$L$24,K$16),IF(K$16=$A20,INDEX($B$9:$K$9,$A20),0))</f>
        <v>0</v>
      </c>
      <c r="L20" s="52">
        <f>IF(L$16&lt;$A20,INDEX('Cash Flow Model'!$C$24:$L$24,L$16),IF(L$16=$A20,INDEX($B$9:$K$9,$A20),0))</f>
        <v>0</v>
      </c>
      <c r="N20" s="49">
        <f t="shared" si="2"/>
        <v>0.40071442167186344</v>
      </c>
      <c r="O20" s="48">
        <f>SUM(C20:L20)/'Cash Flow Model'!$E$8</f>
        <v>3.1961612805822344</v>
      </c>
      <c r="P20" s="50">
        <f>SUM(C20:L20)-'Cash Flow Model'!$E$8</f>
        <v>690777.59121967887</v>
      </c>
    </row>
    <row r="21" spans="1:16" ht="15" customHeight="1" x14ac:dyDescent="0.25">
      <c r="A21" s="51">
        <v>5</v>
      </c>
      <c r="B21" s="52">
        <f>-'Cash Flow Model'!$E$8</f>
        <v>-314538.64400912472</v>
      </c>
      <c r="C21" s="52">
        <f>IF(C$16&lt;$A21,INDEX('Cash Flow Model'!$C$24:$L$24,C$16),IF(C$16=$A21,INDEX($B$9:$K$9,$A21),0))</f>
        <v>61803.42697402816</v>
      </c>
      <c r="D21" s="52">
        <f>IF(D$16&lt;$A21,INDEX('Cash Flow Model'!$C$24:$L$24,D$16),IF(D$16=$A21,INDEX($B$9:$K$9,$A21),0))</f>
        <v>69178.587096093383</v>
      </c>
      <c r="E21" s="52">
        <f>IF(E$16&lt;$A21,INDEX('Cash Flow Model'!$C$24:$L$24,E$16),IF(E$16=$A21,INDEX($B$9:$K$9,$A21),0))</f>
        <v>77084.735367783622</v>
      </c>
      <c r="F21" s="52">
        <f>IF(F$16&lt;$A21,INDEX('Cash Flow Model'!$C$24:$L$24,F$16),IF(F$16=$A21,INDEX($B$9:$K$9,$A21),0))</f>
        <v>85543.152206724029</v>
      </c>
      <c r="G21" s="52">
        <f>IF(G$16&lt;$A21,INDEX('Cash Flow Model'!$C$24:$L$24,G$16),IF(G$16=$A21,INDEX($B$9:$K$9,$A21),0))</f>
        <v>905177.75090996223</v>
      </c>
      <c r="H21" s="52">
        <f>IF(H$16&lt;$A21,INDEX('Cash Flow Model'!$C$24:$L$24,H$16),IF(H$16=$A21,INDEX($B$9:$K$9,$A21),0))</f>
        <v>0</v>
      </c>
      <c r="I21" s="52">
        <f>IF(I$16&lt;$A21,INDEX('Cash Flow Model'!$C$24:$L$24,I$16),IF(I$16=$A21,INDEX($B$9:$K$9,$A21),0))</f>
        <v>0</v>
      </c>
      <c r="J21" s="52">
        <f>IF(J$16&lt;$A21,INDEX('Cash Flow Model'!$C$24:$L$24,J$16),IF(J$16=$A21,INDEX($B$9:$K$9,$A21),0))</f>
        <v>0</v>
      </c>
      <c r="K21" s="52">
        <f>IF(K$16&lt;$A21,INDEX('Cash Flow Model'!$C$24:$L$24,K$16),IF(K$16=$A21,INDEX($B$9:$K$9,$A21),0))</f>
        <v>0</v>
      </c>
      <c r="L21" s="52">
        <f>IF(L$16&lt;$A21,INDEX('Cash Flow Model'!$C$24:$L$24,L$16),IF(L$16=$A21,INDEX($B$9:$K$9,$A21),0))</f>
        <v>0</v>
      </c>
      <c r="N21" s="49">
        <f t="shared" si="2"/>
        <v>0.38039972038463099</v>
      </c>
      <c r="O21" s="48">
        <f>SUM(C21:L21)/'Cash Flow Model'!$E$8</f>
        <v>3.8112571392652623</v>
      </c>
      <c r="P21" s="50">
        <f>SUM(C21:L21)-'Cash Flow Model'!$E$8</f>
        <v>884249.0085454667</v>
      </c>
    </row>
    <row r="22" spans="1:16" ht="15" customHeight="1" x14ac:dyDescent="0.25">
      <c r="A22" s="51">
        <v>6</v>
      </c>
      <c r="B22" s="52">
        <f>-'Cash Flow Model'!$E$8</f>
        <v>-314538.64400912472</v>
      </c>
      <c r="C22" s="52">
        <f>IF(C$16&lt;$A22,INDEX('Cash Flow Model'!$C$24:$L$24,C$16),IF(C$16=$A22,INDEX($B$9:$K$9,$A22),0))</f>
        <v>61803.42697402816</v>
      </c>
      <c r="D22" s="52">
        <f>IF(D$16&lt;$A22,INDEX('Cash Flow Model'!$C$24:$L$24,D$16),IF(D$16=$A22,INDEX($B$9:$K$9,$A22),0))</f>
        <v>69178.587096093383</v>
      </c>
      <c r="E22" s="52">
        <f>IF(E$16&lt;$A22,INDEX('Cash Flow Model'!$C$24:$L$24,E$16),IF(E$16=$A22,INDEX($B$9:$K$9,$A22),0))</f>
        <v>77084.735367783622</v>
      </c>
      <c r="F22" s="52">
        <f>IF(F$16&lt;$A22,INDEX('Cash Flow Model'!$C$24:$L$24,F$16),IF(F$16=$A22,INDEX($B$9:$K$9,$A22),0))</f>
        <v>85543.152206724029</v>
      </c>
      <c r="G22" s="52">
        <f>IF(G$16&lt;$A22,INDEX('Cash Flow Model'!$C$24:$L$24,G$16),IF(G$16=$A22,INDEX($B$9:$K$9,$A22),0))</f>
        <v>94575.909230389501</v>
      </c>
      <c r="H22" s="52">
        <f>IF(H$16&lt;$A22,INDEX('Cash Flow Model'!$C$24:$L$24,H$16),IF(H$16=$A22,INDEX($B$9:$K$9,$A22),0))</f>
        <v>-40305.88351742753</v>
      </c>
      <c r="I22" s="52">
        <f>IF(I$16&lt;$A22,INDEX('Cash Flow Model'!$C$24:$L$24,I$16),IF(I$16=$A22,INDEX($B$9:$K$9,$A22),0))</f>
        <v>0</v>
      </c>
      <c r="J22" s="52">
        <f>IF(J$16&lt;$A22,INDEX('Cash Flow Model'!$C$24:$L$24,J$16),IF(J$16=$A22,INDEX($B$9:$K$9,$A22),0))</f>
        <v>0</v>
      </c>
      <c r="K22" s="52">
        <f>IF(K$16&lt;$A22,INDEX('Cash Flow Model'!$C$24:$L$24,K$16),IF(K$16=$A22,INDEX($B$9:$K$9,$A22),0))</f>
        <v>0</v>
      </c>
      <c r="L22" s="52">
        <f>IF(L$16&lt;$A22,INDEX('Cash Flow Model'!$C$24:$L$24,L$16),IF(L$16=$A22,INDEX($B$9:$K$9,$A22),0))</f>
        <v>0</v>
      </c>
      <c r="N22" s="49">
        <f t="shared" si="2"/>
        <v>3.577104088325167E-2</v>
      </c>
      <c r="O22" s="48">
        <f>SUM(C22:L22)/'Cash Flow Model'!$E$8</f>
        <v>1.1060005947870089</v>
      </c>
      <c r="P22" s="50">
        <f>SUM(C22:L22)-'Cash Flow Model'!$E$8</f>
        <v>33341.283348466444</v>
      </c>
    </row>
    <row r="23" spans="1:16" ht="15" customHeight="1" x14ac:dyDescent="0.25">
      <c r="A23" s="51">
        <v>7</v>
      </c>
      <c r="B23" s="52">
        <f>-'Cash Flow Model'!$E$8</f>
        <v>-314538.64400912472</v>
      </c>
      <c r="C23" s="52">
        <f>IF(C$16&lt;$A23,INDEX('Cash Flow Model'!$C$24:$L$24,C$16),IF(C$16=$A23,INDEX($B$9:$K$9,$A23),0))</f>
        <v>61803.42697402816</v>
      </c>
      <c r="D23" s="52">
        <f>IF(D$16&lt;$A23,INDEX('Cash Flow Model'!$C$24:$L$24,D$16),IF(D$16=$A23,INDEX($B$9:$K$9,$A23),0))</f>
        <v>69178.587096093383</v>
      </c>
      <c r="E23" s="52">
        <f>IF(E$16&lt;$A23,INDEX('Cash Flow Model'!$C$24:$L$24,E$16),IF(E$16=$A23,INDEX($B$9:$K$9,$A23),0))</f>
        <v>77084.735367783622</v>
      </c>
      <c r="F23" s="52">
        <f>IF(F$16&lt;$A23,INDEX('Cash Flow Model'!$C$24:$L$24,F$16),IF(F$16=$A23,INDEX($B$9:$K$9,$A23),0))</f>
        <v>85543.152206724029</v>
      </c>
      <c r="G23" s="52">
        <f>IF(G$16&lt;$A23,INDEX('Cash Flow Model'!$C$24:$L$24,G$16),IF(G$16=$A23,INDEX($B$9:$K$9,$A23),0))</f>
        <v>94575.909230389501</v>
      </c>
      <c r="H23" s="52">
        <f>IF(H$16&lt;$A23,INDEX('Cash Flow Model'!$C$24:$L$24,H$16),IF(H$16=$A23,INDEX($B$9:$K$9,$A23),0))</f>
        <v>6004.5341282351437</v>
      </c>
      <c r="I23" s="52">
        <f>IF(I$16&lt;$A23,INDEX('Cash Flow Model'!$C$24:$L$24,I$16),IF(I$16=$A23,INDEX($B$9:$K$9,$A23),0))</f>
        <v>61041.867612556132</v>
      </c>
      <c r="J23" s="52">
        <f>IF(J$16&lt;$A23,INDEX('Cash Flow Model'!$C$24:$L$24,J$16),IF(J$16=$A23,INDEX($B$9:$K$9,$A23),0))</f>
        <v>0</v>
      </c>
      <c r="K23" s="52">
        <f>IF(K$16&lt;$A23,INDEX('Cash Flow Model'!$C$24:$L$24,K$16),IF(K$16=$A23,INDEX($B$9:$K$9,$A23),0))</f>
        <v>0</v>
      </c>
      <c r="L23" s="52">
        <f>IF(L$16&lt;$A23,INDEX('Cash Flow Model'!$C$24:$L$24,L$16),IF(L$16=$A23,INDEX($B$9:$K$9,$A23),0))</f>
        <v>0</v>
      </c>
      <c r="N23" s="49">
        <f t="shared" si="2"/>
        <v>0.10869314624066573</v>
      </c>
      <c r="O23" s="48">
        <f>SUM(C23:L23)/'Cash Flow Model'!$E$8</f>
        <v>1.4473013770689613</v>
      </c>
      <c r="P23" s="50">
        <f>SUM(C23:L23)-'Cash Flow Model'!$E$8</f>
        <v>140693.56860668526</v>
      </c>
    </row>
    <row r="24" spans="1:16" ht="15" customHeight="1" x14ac:dyDescent="0.25">
      <c r="A24" s="51">
        <v>8</v>
      </c>
      <c r="B24" s="52">
        <f>-'Cash Flow Model'!$E$8</f>
        <v>-314538.64400912472</v>
      </c>
      <c r="C24" s="52">
        <f>IF(C$16&lt;$A24,INDEX('Cash Flow Model'!$C$24:$L$24,C$16),IF(C$16=$A24,INDEX($B$9:$K$9,$A24),0))</f>
        <v>61803.42697402816</v>
      </c>
      <c r="D24" s="52">
        <f>IF(D$16&lt;$A24,INDEX('Cash Flow Model'!$C$24:$L$24,D$16),IF(D$16=$A24,INDEX($B$9:$K$9,$A24),0))</f>
        <v>69178.587096093383</v>
      </c>
      <c r="E24" s="52">
        <f>IF(E$16&lt;$A24,INDEX('Cash Flow Model'!$C$24:$L$24,E$16),IF(E$16=$A24,INDEX($B$9:$K$9,$A24),0))</f>
        <v>77084.735367783622</v>
      </c>
      <c r="F24" s="52">
        <f>IF(F$16&lt;$A24,INDEX('Cash Flow Model'!$C$24:$L$24,F$16),IF(F$16=$A24,INDEX($B$9:$K$9,$A24),0))</f>
        <v>85543.152206724029</v>
      </c>
      <c r="G24" s="52">
        <f>IF(G$16&lt;$A24,INDEX('Cash Flow Model'!$C$24:$L$24,G$16),IF(G$16=$A24,INDEX($B$9:$K$9,$A24),0))</f>
        <v>94575.909230389501</v>
      </c>
      <c r="H24" s="52">
        <f>IF(H$16&lt;$A24,INDEX('Cash Flow Model'!$C$24:$L$24,H$16),IF(H$16=$A24,INDEX($B$9:$K$9,$A24),0))</f>
        <v>6004.5341282351437</v>
      </c>
      <c r="I24" s="52">
        <f>IF(I$16&lt;$A24,INDEX('Cash Flow Model'!$C$24:$L$24,I$16),IF(I$16=$A24,INDEX($B$9:$K$9,$A24),0))</f>
        <v>14291.464004945636</v>
      </c>
      <c r="J24" s="52">
        <f>IF(J$16&lt;$A24,INDEX('Cash Flow Model'!$C$24:$L$24,J$16),IF(J$16=$A24,INDEX($B$9:$K$9,$A24),0))</f>
        <v>169751.72947141953</v>
      </c>
      <c r="K24" s="52">
        <f>IF(K$16&lt;$A24,INDEX('Cash Flow Model'!$C$24:$L$24,K$16),IF(K$16=$A24,INDEX($B$9:$K$9,$A24),0))</f>
        <v>0</v>
      </c>
      <c r="L24" s="52">
        <f>IF(L$16&lt;$A24,INDEX('Cash Flow Model'!$C$24:$L$24,L$16),IF(L$16=$A24,INDEX($B$9:$K$9,$A24),0))</f>
        <v>0</v>
      </c>
      <c r="N24" s="49">
        <f t="shared" si="2"/>
        <v>0.15148093902077187</v>
      </c>
      <c r="O24" s="48">
        <f>SUM(C24:L24)/'Cash Flow Model'!$E$8</f>
        <v>1.8383545217510522</v>
      </c>
      <c r="P24" s="50">
        <f>SUM(C24:L24)-'Cash Flow Model'!$E$8</f>
        <v>263694.89447049424</v>
      </c>
    </row>
    <row r="25" spans="1:16" ht="15" customHeight="1" x14ac:dyDescent="0.25">
      <c r="A25" s="51">
        <v>9</v>
      </c>
      <c r="B25" s="52">
        <f>-'Cash Flow Model'!$E$8</f>
        <v>-314538.64400912472</v>
      </c>
      <c r="C25" s="52">
        <f>IF(C$16&lt;$A25,INDEX('Cash Flow Model'!$C$24:$L$24,C$16),IF(C$16=$A25,INDEX($B$9:$K$9,$A25),0))</f>
        <v>61803.42697402816</v>
      </c>
      <c r="D25" s="52">
        <f>IF(D$16&lt;$A25,INDEX('Cash Flow Model'!$C$24:$L$24,D$16),IF(D$16=$A25,INDEX($B$9:$K$9,$A25),0))</f>
        <v>69178.587096093383</v>
      </c>
      <c r="E25" s="52">
        <f>IF(E$16&lt;$A25,INDEX('Cash Flow Model'!$C$24:$L$24,E$16),IF(E$16=$A25,INDEX($B$9:$K$9,$A25),0))</f>
        <v>77084.735367783622</v>
      </c>
      <c r="F25" s="52">
        <f>IF(F$16&lt;$A25,INDEX('Cash Flow Model'!$C$24:$L$24,F$16),IF(F$16=$A25,INDEX($B$9:$K$9,$A25),0))</f>
        <v>85543.152206724029</v>
      </c>
      <c r="G25" s="52">
        <f>IF(G$16&lt;$A25,INDEX('Cash Flow Model'!$C$24:$L$24,G$16),IF(G$16=$A25,INDEX($B$9:$K$9,$A25),0))</f>
        <v>94575.909230389501</v>
      </c>
      <c r="H25" s="52">
        <f>IF(H$16&lt;$A25,INDEX('Cash Flow Model'!$C$24:$L$24,H$16),IF(H$16=$A25,INDEX($B$9:$K$9,$A25),0))</f>
        <v>6004.5341282351437</v>
      </c>
      <c r="I25" s="52">
        <f>IF(I$16&lt;$A25,INDEX('Cash Flow Model'!$C$24:$L$24,I$16),IF(I$16=$A25,INDEX($B$9:$K$9,$A25),0))</f>
        <v>14291.464004945636</v>
      </c>
      <c r="J25" s="52">
        <f>IF(J$16&lt;$A25,INDEX('Cash Flow Model'!$C$24:$L$24,J$16),IF(J$16=$A25,INDEX($B$9:$K$9,$A25),0))</f>
        <v>23184.698577727817</v>
      </c>
      <c r="K25" s="52">
        <f>IF(K$16&lt;$A25,INDEX('Cash Flow Model'!$C$24:$L$24,K$16),IF(K$16=$A25,INDEX($B$9:$K$9,$A25),0))</f>
        <v>219324.06882141734</v>
      </c>
      <c r="L25" s="52">
        <f>IF(L$16&lt;$A25,INDEX('Cash Flow Model'!$C$24:$L$24,L$16),IF(L$16=$A25,INDEX($B$9:$K$9,$A25),0))</f>
        <v>0</v>
      </c>
      <c r="N25" s="49">
        <f t="shared" si="2"/>
        <v>0.16355405105871323</v>
      </c>
      <c r="O25" s="48">
        <f>SUM(C25:L25)/'Cash Flow Model'!$E$8</f>
        <v>2.0696680322321841</v>
      </c>
      <c r="P25" s="50">
        <f>SUM(C25:L25)-'Cash Flow Model'!$E$8</f>
        <v>336451.93239821994</v>
      </c>
    </row>
    <row r="26" spans="1:16" ht="15" customHeight="1" x14ac:dyDescent="0.25">
      <c r="A26" s="51">
        <v>10</v>
      </c>
      <c r="B26" s="52">
        <f>-'Cash Flow Model'!$E$8</f>
        <v>-314538.64400912472</v>
      </c>
      <c r="C26" s="52">
        <f>IF(C$16&lt;$A26,INDEX('Cash Flow Model'!$C$24:$L$24,C$16),IF(C$16=$A26,INDEX($B$9:$K$9,$A26),0))</f>
        <v>61803.42697402816</v>
      </c>
      <c r="D26" s="52">
        <f>IF(D$16&lt;$A26,INDEX('Cash Flow Model'!$C$24:$L$24,D$16),IF(D$16=$A26,INDEX($B$9:$K$9,$A26),0))</f>
        <v>69178.587096093383</v>
      </c>
      <c r="E26" s="52">
        <f>IF(E$16&lt;$A26,INDEX('Cash Flow Model'!$C$24:$L$24,E$16),IF(E$16=$A26,INDEX($B$9:$K$9,$A26),0))</f>
        <v>77084.735367783622</v>
      </c>
      <c r="F26" s="52">
        <f>IF(F$16&lt;$A26,INDEX('Cash Flow Model'!$C$24:$L$24,F$16),IF(F$16=$A26,INDEX($B$9:$K$9,$A26),0))</f>
        <v>85543.152206724029</v>
      </c>
      <c r="G26" s="52">
        <f>IF(G$16&lt;$A26,INDEX('Cash Flow Model'!$C$24:$L$24,G$16),IF(G$16=$A26,INDEX($B$9:$K$9,$A26),0))</f>
        <v>94575.909230389501</v>
      </c>
      <c r="H26" s="52">
        <f>IF(H$16&lt;$A26,INDEX('Cash Flow Model'!$C$24:$L$24,H$16),IF(H$16=$A26,INDEX($B$9:$K$9,$A26),0))</f>
        <v>6004.5341282351437</v>
      </c>
      <c r="I26" s="52">
        <f>IF(I$16&lt;$A26,INDEX('Cash Flow Model'!$C$24:$L$24,I$16),IF(I$16=$A26,INDEX($B$9:$K$9,$A26),0))</f>
        <v>14291.464004945636</v>
      </c>
      <c r="J26" s="52">
        <f>IF(J$16&lt;$A26,INDEX('Cash Flow Model'!$C$24:$L$24,J$16),IF(J$16=$A26,INDEX($B$9:$K$9,$A26),0))</f>
        <v>23184.698577727817</v>
      </c>
      <c r="K26" s="52">
        <f>IF(K$16&lt;$A26,INDEX('Cash Flow Model'!$C$24:$L$24,K$16),IF(K$16=$A26,INDEX($B$9:$K$9,$A26),0))</f>
        <v>26521.686326903684</v>
      </c>
      <c r="L26" s="52">
        <f>IF(L$16&lt;$A26,INDEX('Cash Flow Model'!$C$24:$L$24,L$16),IF(L$16=$A26,INDEX($B$9:$K$9,$A26),0))</f>
        <v>264147.05090876052</v>
      </c>
      <c r="N26" s="49">
        <f t="shared" si="2"/>
        <v>0.17071022485890897</v>
      </c>
      <c r="O26" s="48">
        <f>SUM(C26:L26)/'Cash Flow Model'!$E$8</f>
        <v>2.2964912533947235</v>
      </c>
      <c r="P26" s="50">
        <f>SUM(C26:L26)-'Cash Flow Model'!$E$8</f>
        <v>407796.60081246682</v>
      </c>
    </row>
    <row r="28" spans="1:16" ht="15" customHeight="1" x14ac:dyDescent="0.25">
      <c r="A28" s="4" t="s">
        <v>130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6" ht="15" customHeight="1" x14ac:dyDescent="0.25">
      <c r="A29" s="9" t="s">
        <v>129</v>
      </c>
      <c r="B29" s="21">
        <v>0</v>
      </c>
      <c r="C29" s="21">
        <v>1</v>
      </c>
      <c r="D29" s="21">
        <v>2</v>
      </c>
      <c r="E29" s="21">
        <v>3</v>
      </c>
      <c r="F29" s="21">
        <v>4</v>
      </c>
      <c r="G29" s="21">
        <v>5</v>
      </c>
      <c r="H29" s="21">
        <v>6</v>
      </c>
      <c r="I29" s="21">
        <v>7</v>
      </c>
      <c r="J29" s="21">
        <v>8</v>
      </c>
      <c r="K29" s="21">
        <v>9</v>
      </c>
      <c r="L29" s="21">
        <v>10</v>
      </c>
    </row>
    <row r="30" spans="1:16" ht="15" customHeight="1" x14ac:dyDescent="0.25">
      <c r="A30" s="51">
        <v>1</v>
      </c>
      <c r="B30" s="52">
        <f>-'Cash Flow Model'!$E$6</f>
        <v>-1048462.1466970821</v>
      </c>
      <c r="C30" s="52">
        <f>IF(C$29&lt;$A30,INDEX('Cash Flow Model'!$C$19:$L$19,C$29),IF(C$29=$A30,INDEX('Cash Flow Model'!$C$19:$L$19,C$29)+INDEX($B$4:$K$4,$A30)-INDEX($B$5:$K$5,$A30),0))</f>
        <v>1297913.766691304</v>
      </c>
      <c r="D30" s="52">
        <f>IF(D$29&lt;$A30,INDEX('Cash Flow Model'!$C$19:$L$19,D$29),IF(D$29=$A30,INDEX('Cash Flow Model'!$C$19:$L$19,D$29)+INDEX($B$4:$K$4,$A30)-INDEX($B$5:$K$5,$A30),0))</f>
        <v>0</v>
      </c>
      <c r="E30" s="52">
        <f>IF(E$29&lt;$A30,INDEX('Cash Flow Model'!$C$19:$L$19,E$29),IF(E$29=$A30,INDEX('Cash Flow Model'!$C$19:$L$19,E$29)+INDEX($B$4:$K$4,$A30)-INDEX($B$5:$K$5,$A30),0))</f>
        <v>0</v>
      </c>
      <c r="F30" s="52">
        <f>IF(F$29&lt;$A30,INDEX('Cash Flow Model'!$C$19:$L$19,F$29),IF(F$29=$A30,INDEX('Cash Flow Model'!$C$19:$L$19,F$29)+INDEX($B$4:$K$4,$A30)-INDEX($B$5:$K$5,$A30),0))</f>
        <v>0</v>
      </c>
      <c r="G30" s="52">
        <f>IF(G$29&lt;$A30,INDEX('Cash Flow Model'!$C$19:$L$19,G$29),IF(G$29=$A30,INDEX('Cash Flow Model'!$C$19:$L$19,G$29)+INDEX($B$4:$K$4,$A30)-INDEX($B$5:$K$5,$A30),0))</f>
        <v>0</v>
      </c>
      <c r="H30" s="52">
        <f>IF(H$29&lt;$A30,INDEX('Cash Flow Model'!$C$19:$L$19,H$29),IF(H$29=$A30,INDEX('Cash Flow Model'!$C$19:$L$19,H$29)+INDEX($B$4:$K$4,$A30)-INDEX($B$5:$K$5,$A30),0))</f>
        <v>0</v>
      </c>
      <c r="I30" s="52">
        <f>IF(I$29&lt;$A30,INDEX('Cash Flow Model'!$C$19:$L$19,I$29),IF(I$29=$A30,INDEX('Cash Flow Model'!$C$19:$L$19,I$29)+INDEX($B$4:$K$4,$A30)-INDEX($B$5:$K$5,$A30),0))</f>
        <v>0</v>
      </c>
      <c r="J30" s="52">
        <f>IF(J$29&lt;$A30,INDEX('Cash Flow Model'!$C$19:$L$19,J$29),IF(J$29=$A30,INDEX('Cash Flow Model'!$C$19:$L$19,J$29)+INDEX($B$4:$K$4,$A30)-INDEX($B$5:$K$5,$A30),0))</f>
        <v>0</v>
      </c>
      <c r="K30" s="52">
        <f>IF(K$29&lt;$A30,INDEX('Cash Flow Model'!$C$19:$L$19,K$29),IF(K$29=$A30,INDEX('Cash Flow Model'!$C$19:$L$19,K$29)+INDEX($B$4:$K$4,$A30)-INDEX($B$5:$K$5,$A30),0))</f>
        <v>0</v>
      </c>
      <c r="L30" s="52">
        <f>IF(L$29&lt;$A30,INDEX('Cash Flow Model'!$C$19:$L$19,L$29),IF(L$29=$A30,INDEX('Cash Flow Model'!$C$19:$L$19,L$29)+INDEX($B$4:$K$4,$A30)-INDEX($B$5:$K$5,$A30),0))</f>
        <v>0</v>
      </c>
    </row>
    <row r="31" spans="1:16" ht="15" customHeight="1" x14ac:dyDescent="0.25">
      <c r="A31" s="51">
        <v>2</v>
      </c>
      <c r="B31" s="52">
        <f>-'Cash Flow Model'!$E$6</f>
        <v>-1048462.1466970821</v>
      </c>
      <c r="C31" s="52">
        <f>IF(C$29&lt;$A31,INDEX('Cash Flow Model'!$C$19:$L$19,C$29),IF(C$29=$A31,INDEX('Cash Flow Model'!$C$19:$L$19,C$29)+INDEX($B$4:$K$4,$A31)-INDEX($B$5:$K$5,$A31),0))</f>
        <v>120177.20061956521</v>
      </c>
      <c r="D31" s="52">
        <f>IF(D$29&lt;$A31,INDEX('Cash Flow Model'!$C$19:$L$19,D$29),IF(D$29=$A31,INDEX('Cash Flow Model'!$C$19:$L$19,D$29)+INDEX($B$4:$K$4,$A31)-INDEX($B$5:$K$5,$A31),0))</f>
        <v>1377565.4960096087</v>
      </c>
      <c r="E31" s="52">
        <f>IF(E$29&lt;$A31,INDEX('Cash Flow Model'!$C$19:$L$19,E$29),IF(E$29=$A31,INDEX('Cash Flow Model'!$C$19:$L$19,E$29)+INDEX($B$4:$K$4,$A31)-INDEX($B$5:$K$5,$A31),0))</f>
        <v>0</v>
      </c>
      <c r="F31" s="52">
        <f>IF(F$29&lt;$A31,INDEX('Cash Flow Model'!$C$19:$L$19,F$29),IF(F$29=$A31,INDEX('Cash Flow Model'!$C$19:$L$19,F$29)+INDEX($B$4:$K$4,$A31)-INDEX($B$5:$K$5,$A31),0))</f>
        <v>0</v>
      </c>
      <c r="G31" s="52">
        <f>IF(G$29&lt;$A31,INDEX('Cash Flow Model'!$C$19:$L$19,G$29),IF(G$29=$A31,INDEX('Cash Flow Model'!$C$19:$L$19,G$29)+INDEX($B$4:$K$4,$A31)-INDEX($B$5:$K$5,$A31),0))</f>
        <v>0</v>
      </c>
      <c r="H31" s="52">
        <f>IF(H$29&lt;$A31,INDEX('Cash Flow Model'!$C$19:$L$19,H$29),IF(H$29=$A31,INDEX('Cash Flow Model'!$C$19:$L$19,H$29)+INDEX($B$4:$K$4,$A31)-INDEX($B$5:$K$5,$A31),0))</f>
        <v>0</v>
      </c>
      <c r="I31" s="52">
        <f>IF(I$29&lt;$A31,INDEX('Cash Flow Model'!$C$19:$L$19,I$29),IF(I$29=$A31,INDEX('Cash Flow Model'!$C$19:$L$19,I$29)+INDEX($B$4:$K$4,$A31)-INDEX($B$5:$K$5,$A31),0))</f>
        <v>0</v>
      </c>
      <c r="J31" s="52">
        <f>IF(J$29&lt;$A31,INDEX('Cash Flow Model'!$C$19:$L$19,J$29),IF(J$29=$A31,INDEX('Cash Flow Model'!$C$19:$L$19,J$29)+INDEX($B$4:$K$4,$A31)-INDEX($B$5:$K$5,$A31),0))</f>
        <v>0</v>
      </c>
      <c r="K31" s="52">
        <f>IF(K$29&lt;$A31,INDEX('Cash Flow Model'!$C$19:$L$19,K$29),IF(K$29=$A31,INDEX('Cash Flow Model'!$C$19:$L$19,K$29)+INDEX($B$4:$K$4,$A31)-INDEX($B$5:$K$5,$A31),0))</f>
        <v>0</v>
      </c>
      <c r="L31" s="52">
        <f>IF(L$29&lt;$A31,INDEX('Cash Flow Model'!$C$19:$L$19,L$29),IF(L$29=$A31,INDEX('Cash Flow Model'!$C$19:$L$19,L$29)+INDEX($B$4:$K$4,$A31)-INDEX($B$5:$K$5,$A31),0))</f>
        <v>0</v>
      </c>
    </row>
    <row r="32" spans="1:16" ht="15" customHeight="1" x14ac:dyDescent="0.25">
      <c r="A32" s="51">
        <v>3</v>
      </c>
      <c r="B32" s="52">
        <f>-'Cash Flow Model'!$E$6</f>
        <v>-1048462.1466970821</v>
      </c>
      <c r="C32" s="52">
        <f>IF(C$29&lt;$A32,INDEX('Cash Flow Model'!$C$19:$L$19,C$29),IF(C$29=$A32,INDEX('Cash Flow Model'!$C$19:$L$19,C$29)+INDEX($B$4:$K$4,$A32)-INDEX($B$5:$K$5,$A32),0))</f>
        <v>120177.20061956521</v>
      </c>
      <c r="D32" s="52">
        <f>IF(D$29&lt;$A32,INDEX('Cash Flow Model'!$C$19:$L$19,D$29),IF(D$29=$A32,INDEX('Cash Flow Model'!$C$19:$L$19,D$29)+INDEX($B$4:$K$4,$A32)-INDEX($B$5:$K$5,$A32),0))</f>
        <v>127552.36074163043</v>
      </c>
      <c r="E32" s="52">
        <f>IF(E$29&lt;$A32,INDEX('Cash Flow Model'!$C$19:$L$19,E$29),IF(E$29=$A32,INDEX('Cash Flow Model'!$C$19:$L$19,E$29)+INDEX($B$4:$K$4,$A32)-INDEX($B$5:$K$5,$A32),0))</f>
        <v>1462951.897343863</v>
      </c>
      <c r="F32" s="52">
        <f>IF(F$29&lt;$A32,INDEX('Cash Flow Model'!$C$19:$L$19,F$29),IF(F$29=$A32,INDEX('Cash Flow Model'!$C$19:$L$19,F$29)+INDEX($B$4:$K$4,$A32)-INDEX($B$5:$K$5,$A32),0))</f>
        <v>0</v>
      </c>
      <c r="G32" s="52">
        <f>IF(G$29&lt;$A32,INDEX('Cash Flow Model'!$C$19:$L$19,G$29),IF(G$29=$A32,INDEX('Cash Flow Model'!$C$19:$L$19,G$29)+INDEX($B$4:$K$4,$A32)-INDEX($B$5:$K$5,$A32),0))</f>
        <v>0</v>
      </c>
      <c r="H32" s="52">
        <f>IF(H$29&lt;$A32,INDEX('Cash Flow Model'!$C$19:$L$19,H$29),IF(H$29=$A32,INDEX('Cash Flow Model'!$C$19:$L$19,H$29)+INDEX($B$4:$K$4,$A32)-INDEX($B$5:$K$5,$A32),0))</f>
        <v>0</v>
      </c>
      <c r="I32" s="52">
        <f>IF(I$29&lt;$A32,INDEX('Cash Flow Model'!$C$19:$L$19,I$29),IF(I$29=$A32,INDEX('Cash Flow Model'!$C$19:$L$19,I$29)+INDEX($B$4:$K$4,$A32)-INDEX($B$5:$K$5,$A32),0))</f>
        <v>0</v>
      </c>
      <c r="J32" s="52">
        <f>IF(J$29&lt;$A32,INDEX('Cash Flow Model'!$C$19:$L$19,J$29),IF(J$29=$A32,INDEX('Cash Flow Model'!$C$19:$L$19,J$29)+INDEX($B$4:$K$4,$A32)-INDEX($B$5:$K$5,$A32),0))</f>
        <v>0</v>
      </c>
      <c r="K32" s="52">
        <f>IF(K$29&lt;$A32,INDEX('Cash Flow Model'!$C$19:$L$19,K$29),IF(K$29=$A32,INDEX('Cash Flow Model'!$C$19:$L$19,K$29)+INDEX($B$4:$K$4,$A32)-INDEX($B$5:$K$5,$A32),0))</f>
        <v>0</v>
      </c>
      <c r="L32" s="52">
        <f>IF(L$29&lt;$A32,INDEX('Cash Flow Model'!$C$19:$L$19,L$29),IF(L$29=$A32,INDEX('Cash Flow Model'!$C$19:$L$19,L$29)+INDEX($B$4:$K$4,$A32)-INDEX($B$5:$K$5,$A32),0))</f>
        <v>0</v>
      </c>
    </row>
    <row r="33" spans="1:12" ht="15" customHeight="1" x14ac:dyDescent="0.25">
      <c r="A33" s="51">
        <v>4</v>
      </c>
      <c r="B33" s="52">
        <f>-'Cash Flow Model'!$E$6</f>
        <v>-1048462.1466970821</v>
      </c>
      <c r="C33" s="52">
        <f>IF(C$29&lt;$A33,INDEX('Cash Flow Model'!$C$19:$L$19,C$29),IF(C$29=$A33,INDEX('Cash Flow Model'!$C$19:$L$19,C$29)+INDEX($B$4:$K$4,$A33)-INDEX($B$5:$K$5,$A33),0))</f>
        <v>120177.20061956521</v>
      </c>
      <c r="D33" s="52">
        <f>IF(D$29&lt;$A33,INDEX('Cash Flow Model'!$C$19:$L$19,D$29),IF(D$29=$A33,INDEX('Cash Flow Model'!$C$19:$L$19,D$29)+INDEX($B$4:$K$4,$A33)-INDEX($B$5:$K$5,$A33),0))</f>
        <v>127552.36074163043</v>
      </c>
      <c r="E33" s="52">
        <f>IF(E$29&lt;$A33,INDEX('Cash Flow Model'!$C$19:$L$19,E$29),IF(E$29=$A33,INDEX('Cash Flow Model'!$C$19:$L$19,E$29)+INDEX($B$4:$K$4,$A33)-INDEX($B$5:$K$5,$A33),0))</f>
        <v>135458.50901332067</v>
      </c>
      <c r="F33" s="52">
        <f>IF(F$29&lt;$A33,INDEX('Cash Flow Model'!$C$19:$L$19,F$29),IF(F$29=$A33,INDEX('Cash Flow Model'!$C$19:$L$19,F$29)+INDEX($B$4:$K$4,$A33)-INDEX($B$5:$K$5,$A33),0))</f>
        <v>1554302.7992044194</v>
      </c>
      <c r="G33" s="52">
        <f>IF(G$29&lt;$A33,INDEX('Cash Flow Model'!$C$19:$L$19,G$29),IF(G$29=$A33,INDEX('Cash Flow Model'!$C$19:$L$19,G$29)+INDEX($B$4:$K$4,$A33)-INDEX($B$5:$K$5,$A33),0))</f>
        <v>0</v>
      </c>
      <c r="H33" s="52">
        <f>IF(H$29&lt;$A33,INDEX('Cash Flow Model'!$C$19:$L$19,H$29),IF(H$29=$A33,INDEX('Cash Flow Model'!$C$19:$L$19,H$29)+INDEX($B$4:$K$4,$A33)-INDEX($B$5:$K$5,$A33),0))</f>
        <v>0</v>
      </c>
      <c r="I33" s="52">
        <f>IF(I$29&lt;$A33,INDEX('Cash Flow Model'!$C$19:$L$19,I$29),IF(I$29=$A33,INDEX('Cash Flow Model'!$C$19:$L$19,I$29)+INDEX($B$4:$K$4,$A33)-INDEX($B$5:$K$5,$A33),0))</f>
        <v>0</v>
      </c>
      <c r="J33" s="52">
        <f>IF(J$29&lt;$A33,INDEX('Cash Flow Model'!$C$19:$L$19,J$29),IF(J$29=$A33,INDEX('Cash Flow Model'!$C$19:$L$19,J$29)+INDEX($B$4:$K$4,$A33)-INDEX($B$5:$K$5,$A33),0))</f>
        <v>0</v>
      </c>
      <c r="K33" s="52">
        <f>IF(K$29&lt;$A33,INDEX('Cash Flow Model'!$C$19:$L$19,K$29),IF(K$29=$A33,INDEX('Cash Flow Model'!$C$19:$L$19,K$29)+INDEX($B$4:$K$4,$A33)-INDEX($B$5:$K$5,$A33),0))</f>
        <v>0</v>
      </c>
      <c r="L33" s="52">
        <f>IF(L$29&lt;$A33,INDEX('Cash Flow Model'!$C$19:$L$19,L$29),IF(L$29=$A33,INDEX('Cash Flow Model'!$C$19:$L$19,L$29)+INDEX($B$4:$K$4,$A33)-INDEX($B$5:$K$5,$A33),0))</f>
        <v>0</v>
      </c>
    </row>
    <row r="34" spans="1:12" ht="15" customHeight="1" x14ac:dyDescent="0.25">
      <c r="A34" s="51">
        <v>5</v>
      </c>
      <c r="B34" s="52">
        <f>-'Cash Flow Model'!$E$6</f>
        <v>-1048462.1466970821</v>
      </c>
      <c r="C34" s="52">
        <f>IF(C$29&lt;$A34,INDEX('Cash Flow Model'!$C$19:$L$19,C$29),IF(C$29=$A34,INDEX('Cash Flow Model'!$C$19:$L$19,C$29)+INDEX($B$4:$K$4,$A34)-INDEX($B$5:$K$5,$A34),0))</f>
        <v>120177.20061956521</v>
      </c>
      <c r="D34" s="52">
        <f>IF(D$29&lt;$A34,INDEX('Cash Flow Model'!$C$19:$L$19,D$29),IF(D$29=$A34,INDEX('Cash Flow Model'!$C$19:$L$19,D$29)+INDEX($B$4:$K$4,$A34)-INDEX($B$5:$K$5,$A34),0))</f>
        <v>127552.36074163043</v>
      </c>
      <c r="E34" s="52">
        <f>IF(E$29&lt;$A34,INDEX('Cash Flow Model'!$C$19:$L$19,E$29),IF(E$29=$A34,INDEX('Cash Flow Model'!$C$19:$L$19,E$29)+INDEX($B$4:$K$4,$A34)-INDEX($B$5:$K$5,$A34),0))</f>
        <v>135458.50901332067</v>
      </c>
      <c r="F34" s="52">
        <f>IF(F$29&lt;$A34,INDEX('Cash Flow Model'!$C$19:$L$19,F$29),IF(F$29=$A34,INDEX('Cash Flow Model'!$C$19:$L$19,F$29)+INDEX($B$4:$K$4,$A34)-INDEX($B$5:$K$5,$A34),0))</f>
        <v>143916.92585226108</v>
      </c>
      <c r="G34" s="52">
        <f>IF(G$29&lt;$A34,INDEX('Cash Flow Model'!$C$19:$L$19,G$29),IF(G$29=$A34,INDEX('Cash Flow Model'!$C$19:$L$19,G$29)+INDEX($B$4:$K$4,$A34)-INDEX($B$5:$K$5,$A34),0))</f>
        <v>1651856.5750600067</v>
      </c>
      <c r="H34" s="52">
        <f>IF(H$29&lt;$A34,INDEX('Cash Flow Model'!$C$19:$L$19,H$29),IF(H$29=$A34,INDEX('Cash Flow Model'!$C$19:$L$19,H$29)+INDEX($B$4:$K$4,$A34)-INDEX($B$5:$K$5,$A34),0))</f>
        <v>0</v>
      </c>
      <c r="I34" s="52">
        <f>IF(I$29&lt;$A34,INDEX('Cash Flow Model'!$C$19:$L$19,I$29),IF(I$29=$A34,INDEX('Cash Flow Model'!$C$19:$L$19,I$29)+INDEX($B$4:$K$4,$A34)-INDEX($B$5:$K$5,$A34),0))</f>
        <v>0</v>
      </c>
      <c r="J34" s="52">
        <f>IF(J$29&lt;$A34,INDEX('Cash Flow Model'!$C$19:$L$19,J$29),IF(J$29=$A34,INDEX('Cash Flow Model'!$C$19:$L$19,J$29)+INDEX($B$4:$K$4,$A34)-INDEX($B$5:$K$5,$A34),0))</f>
        <v>0</v>
      </c>
      <c r="K34" s="52">
        <f>IF(K$29&lt;$A34,INDEX('Cash Flow Model'!$C$19:$L$19,K$29),IF(K$29=$A34,INDEX('Cash Flow Model'!$C$19:$L$19,K$29)+INDEX($B$4:$K$4,$A34)-INDEX($B$5:$K$5,$A34),0))</f>
        <v>0</v>
      </c>
      <c r="L34" s="52">
        <f>IF(L$29&lt;$A34,INDEX('Cash Flow Model'!$C$19:$L$19,L$29),IF(L$29=$A34,INDEX('Cash Flow Model'!$C$19:$L$19,L$29)+INDEX($B$4:$K$4,$A34)-INDEX($B$5:$K$5,$A34),0))</f>
        <v>0</v>
      </c>
    </row>
    <row r="35" spans="1:12" ht="15" customHeight="1" x14ac:dyDescent="0.25">
      <c r="A35" s="51">
        <v>6</v>
      </c>
      <c r="B35" s="52">
        <f>-'Cash Flow Model'!$E$6</f>
        <v>-1048462.1466970821</v>
      </c>
      <c r="C35" s="52">
        <f>IF(C$29&lt;$A35,INDEX('Cash Flow Model'!$C$19:$L$19,C$29),IF(C$29=$A35,INDEX('Cash Flow Model'!$C$19:$L$19,C$29)+INDEX($B$4:$K$4,$A35)-INDEX($B$5:$K$5,$A35),0))</f>
        <v>120177.20061956521</v>
      </c>
      <c r="D35" s="52">
        <f>IF(D$29&lt;$A35,INDEX('Cash Flow Model'!$C$19:$L$19,D$29),IF(D$29=$A35,INDEX('Cash Flow Model'!$C$19:$L$19,D$29)+INDEX($B$4:$K$4,$A35)-INDEX($B$5:$K$5,$A35),0))</f>
        <v>127552.36074163043</v>
      </c>
      <c r="E35" s="52">
        <f>IF(E$29&lt;$A35,INDEX('Cash Flow Model'!$C$19:$L$19,E$29),IF(E$29=$A35,INDEX('Cash Flow Model'!$C$19:$L$19,E$29)+INDEX($B$4:$K$4,$A35)-INDEX($B$5:$K$5,$A35),0))</f>
        <v>135458.50901332067</v>
      </c>
      <c r="F35" s="52">
        <f>IF(F$29&lt;$A35,INDEX('Cash Flow Model'!$C$19:$L$19,F$29),IF(F$29=$A35,INDEX('Cash Flow Model'!$C$19:$L$19,F$29)+INDEX($B$4:$K$4,$A35)-INDEX($B$5:$K$5,$A35),0))</f>
        <v>143916.92585226108</v>
      </c>
      <c r="G35" s="52">
        <f>IF(G$29&lt;$A35,INDEX('Cash Flow Model'!$C$19:$L$19,G$29),IF(G$29=$A35,INDEX('Cash Flow Model'!$C$19:$L$19,G$29)+INDEX($B$4:$K$4,$A35)-INDEX($B$5:$K$5,$A35),0))</f>
        <v>152949.68287592655</v>
      </c>
      <c r="H35" s="52">
        <f>IF(H$29&lt;$A35,INDEX('Cash Flow Model'!$C$19:$L$19,H$29),IF(H$29=$A35,INDEX('Cash Flow Model'!$C$19:$L$19,H$29)+INDEX($B$4:$K$4,$A35)-INDEX($B$5:$K$5,$A35),0))</f>
        <v>695285.72395673953</v>
      </c>
      <c r="I35" s="52">
        <f>IF(I$29&lt;$A35,INDEX('Cash Flow Model'!$C$19:$L$19,I$29),IF(I$29=$A35,INDEX('Cash Flow Model'!$C$19:$L$19,I$29)+INDEX($B$4:$K$4,$A35)-INDEX($B$5:$K$5,$A35),0))</f>
        <v>0</v>
      </c>
      <c r="J35" s="52">
        <f>IF(J$29&lt;$A35,INDEX('Cash Flow Model'!$C$19:$L$19,J$29),IF(J$29=$A35,INDEX('Cash Flow Model'!$C$19:$L$19,J$29)+INDEX($B$4:$K$4,$A35)-INDEX($B$5:$K$5,$A35),0))</f>
        <v>0</v>
      </c>
      <c r="K35" s="52">
        <f>IF(K$29&lt;$A35,INDEX('Cash Flow Model'!$C$19:$L$19,K$29),IF(K$29=$A35,INDEX('Cash Flow Model'!$C$19:$L$19,K$29)+INDEX($B$4:$K$4,$A35)-INDEX($B$5:$K$5,$A35),0))</f>
        <v>0</v>
      </c>
      <c r="L35" s="52">
        <f>IF(L$29&lt;$A35,INDEX('Cash Flow Model'!$C$19:$L$19,L$29),IF(L$29=$A35,INDEX('Cash Flow Model'!$C$19:$L$19,L$29)+INDEX($B$4:$K$4,$A35)-INDEX($B$5:$K$5,$A35),0))</f>
        <v>0</v>
      </c>
    </row>
    <row r="36" spans="1:12" ht="15" customHeight="1" x14ac:dyDescent="0.25">
      <c r="A36" s="51">
        <v>7</v>
      </c>
      <c r="B36" s="52">
        <f>-'Cash Flow Model'!$E$6</f>
        <v>-1048462.1466970821</v>
      </c>
      <c r="C36" s="52">
        <f>IF(C$29&lt;$A36,INDEX('Cash Flow Model'!$C$19:$L$19,C$29),IF(C$29=$A36,INDEX('Cash Flow Model'!$C$19:$L$19,C$29)+INDEX($B$4:$K$4,$A36)-INDEX($B$5:$K$5,$A36),0))</f>
        <v>120177.20061956521</v>
      </c>
      <c r="D36" s="52">
        <f>IF(D$29&lt;$A36,INDEX('Cash Flow Model'!$C$19:$L$19,D$29),IF(D$29=$A36,INDEX('Cash Flow Model'!$C$19:$L$19,D$29)+INDEX($B$4:$K$4,$A36)-INDEX($B$5:$K$5,$A36),0))</f>
        <v>127552.36074163043</v>
      </c>
      <c r="E36" s="52">
        <f>IF(E$29&lt;$A36,INDEX('Cash Flow Model'!$C$19:$L$19,E$29),IF(E$29=$A36,INDEX('Cash Flow Model'!$C$19:$L$19,E$29)+INDEX($B$4:$K$4,$A36)-INDEX($B$5:$K$5,$A36),0))</f>
        <v>135458.50901332067</v>
      </c>
      <c r="F36" s="52">
        <f>IF(F$29&lt;$A36,INDEX('Cash Flow Model'!$C$19:$L$19,F$29),IF(F$29=$A36,INDEX('Cash Flow Model'!$C$19:$L$19,F$29)+INDEX($B$4:$K$4,$A36)-INDEX($B$5:$K$5,$A36),0))</f>
        <v>143916.92585226108</v>
      </c>
      <c r="G36" s="52">
        <f>IF(G$29&lt;$A36,INDEX('Cash Flow Model'!$C$19:$L$19,G$29),IF(G$29=$A36,INDEX('Cash Flow Model'!$C$19:$L$19,G$29)+INDEX($B$4:$K$4,$A36)-INDEX($B$5:$K$5,$A36),0))</f>
        <v>152949.68287592655</v>
      </c>
      <c r="H36" s="52">
        <f>IF(H$29&lt;$A36,INDEX('Cash Flow Model'!$C$19:$L$19,H$29),IF(H$29=$A36,INDEX('Cash Flow Model'!$C$19:$L$19,H$29)+INDEX($B$4:$K$4,$A36)-INDEX($B$5:$K$5,$A36),0))</f>
        <v>64378.307773772191</v>
      </c>
      <c r="I36" s="52">
        <f>IF(I$29&lt;$A36,INDEX('Cash Flow Model'!$C$19:$L$19,I$29),IF(I$29=$A36,INDEX('Cash Flow Model'!$C$19:$L$19,I$29)+INDEX($B$4:$K$4,$A36)-INDEX($B$5:$K$5,$A36),0))</f>
        <v>784784.56662521302</v>
      </c>
      <c r="J36" s="52">
        <f>IF(J$29&lt;$A36,INDEX('Cash Flow Model'!$C$19:$L$19,J$29),IF(J$29=$A36,INDEX('Cash Flow Model'!$C$19:$L$19,J$29)+INDEX($B$4:$K$4,$A36)-INDEX($B$5:$K$5,$A36),0))</f>
        <v>0</v>
      </c>
      <c r="K36" s="52">
        <f>IF(K$29&lt;$A36,INDEX('Cash Flow Model'!$C$19:$L$19,K$29),IF(K$29=$A36,INDEX('Cash Flow Model'!$C$19:$L$19,K$29)+INDEX($B$4:$K$4,$A36)-INDEX($B$5:$K$5,$A36),0))</f>
        <v>0</v>
      </c>
      <c r="L36" s="52">
        <f>IF(L$29&lt;$A36,INDEX('Cash Flow Model'!$C$19:$L$19,L$29),IF(L$29=$A36,INDEX('Cash Flow Model'!$C$19:$L$19,L$29)+INDEX($B$4:$K$4,$A36)-INDEX($B$5:$K$5,$A36),0))</f>
        <v>0</v>
      </c>
    </row>
    <row r="37" spans="1:12" ht="15" customHeight="1" x14ac:dyDescent="0.25">
      <c r="A37" s="51">
        <v>8</v>
      </c>
      <c r="B37" s="52">
        <f>-'Cash Flow Model'!$E$6</f>
        <v>-1048462.1466970821</v>
      </c>
      <c r="C37" s="52">
        <f>IF(C$29&lt;$A37,INDEX('Cash Flow Model'!$C$19:$L$19,C$29),IF(C$29=$A37,INDEX('Cash Flow Model'!$C$19:$L$19,C$29)+INDEX($B$4:$K$4,$A37)-INDEX($B$5:$K$5,$A37),0))</f>
        <v>120177.20061956521</v>
      </c>
      <c r="D37" s="52">
        <f>IF(D$29&lt;$A37,INDEX('Cash Flow Model'!$C$19:$L$19,D$29),IF(D$29=$A37,INDEX('Cash Flow Model'!$C$19:$L$19,D$29)+INDEX($B$4:$K$4,$A37)-INDEX($B$5:$K$5,$A37),0))</f>
        <v>127552.36074163043</v>
      </c>
      <c r="E37" s="52">
        <f>IF(E$29&lt;$A37,INDEX('Cash Flow Model'!$C$19:$L$19,E$29),IF(E$29=$A37,INDEX('Cash Flow Model'!$C$19:$L$19,E$29)+INDEX($B$4:$K$4,$A37)-INDEX($B$5:$K$5,$A37),0))</f>
        <v>135458.50901332067</v>
      </c>
      <c r="F37" s="52">
        <f>IF(F$29&lt;$A37,INDEX('Cash Flow Model'!$C$19:$L$19,F$29),IF(F$29=$A37,INDEX('Cash Flow Model'!$C$19:$L$19,F$29)+INDEX($B$4:$K$4,$A37)-INDEX($B$5:$K$5,$A37),0))</f>
        <v>143916.92585226108</v>
      </c>
      <c r="G37" s="52">
        <f>IF(G$29&lt;$A37,INDEX('Cash Flow Model'!$C$19:$L$19,G$29),IF(G$29=$A37,INDEX('Cash Flow Model'!$C$19:$L$19,G$29)+INDEX($B$4:$K$4,$A37)-INDEX($B$5:$K$5,$A37),0))</f>
        <v>152949.68287592655</v>
      </c>
      <c r="H37" s="52">
        <f>IF(H$29&lt;$A37,INDEX('Cash Flow Model'!$C$19:$L$19,H$29),IF(H$29=$A37,INDEX('Cash Flow Model'!$C$19:$L$19,H$29)+INDEX($B$4:$K$4,$A37)-INDEX($B$5:$K$5,$A37),0))</f>
        <v>64378.307773772191</v>
      </c>
      <c r="I37" s="52">
        <f>IF(I$29&lt;$A37,INDEX('Cash Flow Model'!$C$19:$L$19,I$29),IF(I$29=$A37,INDEX('Cash Flow Model'!$C$19:$L$19,I$29)+INDEX($B$4:$K$4,$A37)-INDEX($B$5:$K$5,$A37),0))</f>
        <v>72665.237650482683</v>
      </c>
      <c r="J37" s="52">
        <f>IF(J$29&lt;$A37,INDEX('Cash Flow Model'!$C$19:$L$19,J$29),IF(J$29=$A37,INDEX('Cash Flow Model'!$C$19:$L$19,J$29)+INDEX($B$4:$K$4,$A37)-INDEX($B$5:$K$5,$A37),0))</f>
        <v>880831.5000112605</v>
      </c>
      <c r="K37" s="52">
        <f>IF(K$29&lt;$A37,INDEX('Cash Flow Model'!$C$19:$L$19,K$29),IF(K$29=$A37,INDEX('Cash Flow Model'!$C$19:$L$19,K$29)+INDEX($B$4:$K$4,$A37)-INDEX($B$5:$K$5,$A37),0))</f>
        <v>0</v>
      </c>
      <c r="L37" s="52">
        <f>IF(L$29&lt;$A37,INDEX('Cash Flow Model'!$C$19:$L$19,L$29),IF(L$29=$A37,INDEX('Cash Flow Model'!$C$19:$L$19,L$29)+INDEX($B$4:$K$4,$A37)-INDEX($B$5:$K$5,$A37),0))</f>
        <v>0</v>
      </c>
    </row>
    <row r="38" spans="1:12" ht="15" customHeight="1" x14ac:dyDescent="0.25">
      <c r="A38" s="51">
        <v>9</v>
      </c>
      <c r="B38" s="52">
        <f>-'Cash Flow Model'!$E$6</f>
        <v>-1048462.1466970821</v>
      </c>
      <c r="C38" s="52">
        <f>IF(C$29&lt;$A38,INDEX('Cash Flow Model'!$C$19:$L$19,C$29),IF(C$29=$A38,INDEX('Cash Flow Model'!$C$19:$L$19,C$29)+INDEX($B$4:$K$4,$A38)-INDEX($B$5:$K$5,$A38),0))</f>
        <v>120177.20061956521</v>
      </c>
      <c r="D38" s="52">
        <f>IF(D$29&lt;$A38,INDEX('Cash Flow Model'!$C$19:$L$19,D$29),IF(D$29=$A38,INDEX('Cash Flow Model'!$C$19:$L$19,D$29)+INDEX($B$4:$K$4,$A38)-INDEX($B$5:$K$5,$A38),0))</f>
        <v>127552.36074163043</v>
      </c>
      <c r="E38" s="52">
        <f>IF(E$29&lt;$A38,INDEX('Cash Flow Model'!$C$19:$L$19,E$29),IF(E$29=$A38,INDEX('Cash Flow Model'!$C$19:$L$19,E$29)+INDEX($B$4:$K$4,$A38)-INDEX($B$5:$K$5,$A38),0))</f>
        <v>135458.50901332067</v>
      </c>
      <c r="F38" s="52">
        <f>IF(F$29&lt;$A38,INDEX('Cash Flow Model'!$C$19:$L$19,F$29),IF(F$29=$A38,INDEX('Cash Flow Model'!$C$19:$L$19,F$29)+INDEX($B$4:$K$4,$A38)-INDEX($B$5:$K$5,$A38),0))</f>
        <v>143916.92585226108</v>
      </c>
      <c r="G38" s="52">
        <f>IF(G$29&lt;$A38,INDEX('Cash Flow Model'!$C$19:$L$19,G$29),IF(G$29=$A38,INDEX('Cash Flow Model'!$C$19:$L$19,G$29)+INDEX($B$4:$K$4,$A38)-INDEX($B$5:$K$5,$A38),0))</f>
        <v>152949.68287592655</v>
      </c>
      <c r="H38" s="52">
        <f>IF(H$29&lt;$A38,INDEX('Cash Flow Model'!$C$19:$L$19,H$29),IF(H$29=$A38,INDEX('Cash Flow Model'!$C$19:$L$19,H$29)+INDEX($B$4:$K$4,$A38)-INDEX($B$5:$K$5,$A38),0))</f>
        <v>64378.307773772191</v>
      </c>
      <c r="I38" s="52">
        <f>IF(I$29&lt;$A38,INDEX('Cash Flow Model'!$C$19:$L$19,I$29),IF(I$29=$A38,INDEX('Cash Flow Model'!$C$19:$L$19,I$29)+INDEX($B$4:$K$4,$A38)-INDEX($B$5:$K$5,$A38),0))</f>
        <v>72665.237650482683</v>
      </c>
      <c r="J38" s="52">
        <f>IF(J$29&lt;$A38,INDEX('Cash Flow Model'!$C$19:$L$19,J$29),IF(J$29=$A38,INDEX('Cash Flow Model'!$C$19:$L$19,J$29)+INDEX($B$4:$K$4,$A38)-INDEX($B$5:$K$5,$A38),0))</f>
        <v>81558.472223264864</v>
      </c>
      <c r="K38" s="52">
        <f>IF(K$29&lt;$A38,INDEX('Cash Flow Model'!$C$19:$L$19,K$29),IF(K$29=$A38,INDEX('Cash Flow Model'!$C$19:$L$19,K$29)+INDEX($B$4:$K$4,$A38)-INDEX($B$5:$K$5,$A38),0))</f>
        <v>916870.96770235989</v>
      </c>
      <c r="L38" s="52">
        <f>IF(L$29&lt;$A38,INDEX('Cash Flow Model'!$C$19:$L$19,L$29),IF(L$29=$A38,INDEX('Cash Flow Model'!$C$19:$L$19,L$29)+INDEX($B$4:$K$4,$A38)-INDEX($B$5:$K$5,$A38),0))</f>
        <v>0</v>
      </c>
    </row>
    <row r="39" spans="1:12" ht="15" customHeight="1" x14ac:dyDescent="0.25">
      <c r="A39" s="51">
        <v>10</v>
      </c>
      <c r="B39" s="52">
        <f>-'Cash Flow Model'!$E$6</f>
        <v>-1048462.1466970821</v>
      </c>
      <c r="C39" s="52">
        <f>IF(C$29&lt;$A39,INDEX('Cash Flow Model'!$C$19:$L$19,C$29),IF(C$29=$A39,INDEX('Cash Flow Model'!$C$19:$L$19,C$29)+INDEX($B$4:$K$4,$A39)-INDEX($B$5:$K$5,$A39),0))</f>
        <v>120177.20061956521</v>
      </c>
      <c r="D39" s="52">
        <f>IF(D$29&lt;$A39,INDEX('Cash Flow Model'!$C$19:$L$19,D$29),IF(D$29=$A39,INDEX('Cash Flow Model'!$C$19:$L$19,D$29)+INDEX($B$4:$K$4,$A39)-INDEX($B$5:$K$5,$A39),0))</f>
        <v>127552.36074163043</v>
      </c>
      <c r="E39" s="52">
        <f>IF(E$29&lt;$A39,INDEX('Cash Flow Model'!$C$19:$L$19,E$29),IF(E$29=$A39,INDEX('Cash Flow Model'!$C$19:$L$19,E$29)+INDEX($B$4:$K$4,$A39)-INDEX($B$5:$K$5,$A39),0))</f>
        <v>135458.50901332067</v>
      </c>
      <c r="F39" s="52">
        <f>IF(F$29&lt;$A39,INDEX('Cash Flow Model'!$C$19:$L$19,F$29),IF(F$29=$A39,INDEX('Cash Flow Model'!$C$19:$L$19,F$29)+INDEX($B$4:$K$4,$A39)-INDEX($B$5:$K$5,$A39),0))</f>
        <v>143916.92585226108</v>
      </c>
      <c r="G39" s="52">
        <f>IF(G$29&lt;$A39,INDEX('Cash Flow Model'!$C$19:$L$19,G$29),IF(G$29=$A39,INDEX('Cash Flow Model'!$C$19:$L$19,G$29)+INDEX($B$4:$K$4,$A39)-INDEX($B$5:$K$5,$A39),0))</f>
        <v>152949.68287592655</v>
      </c>
      <c r="H39" s="52">
        <f>IF(H$29&lt;$A39,INDEX('Cash Flow Model'!$C$19:$L$19,H$29),IF(H$29=$A39,INDEX('Cash Flow Model'!$C$19:$L$19,H$29)+INDEX($B$4:$K$4,$A39)-INDEX($B$5:$K$5,$A39),0))</f>
        <v>64378.307773772191</v>
      </c>
      <c r="I39" s="52">
        <f>IF(I$29&lt;$A39,INDEX('Cash Flow Model'!$C$19:$L$19,I$29),IF(I$29=$A39,INDEX('Cash Flow Model'!$C$19:$L$19,I$29)+INDEX($B$4:$K$4,$A39)-INDEX($B$5:$K$5,$A39),0))</f>
        <v>72665.237650482683</v>
      </c>
      <c r="J39" s="52">
        <f>IF(J$29&lt;$A39,INDEX('Cash Flow Model'!$C$19:$L$19,J$29),IF(J$29=$A39,INDEX('Cash Flow Model'!$C$19:$L$19,J$29)+INDEX($B$4:$K$4,$A39)-INDEX($B$5:$K$5,$A39),0))</f>
        <v>81558.472223264864</v>
      </c>
      <c r="K39" s="52">
        <f>IF(K$29&lt;$A39,INDEX('Cash Flow Model'!$C$19:$L$19,K$29),IF(K$29=$A39,INDEX('Cash Flow Model'!$C$19:$L$19,K$29)+INDEX($B$4:$K$4,$A39)-INDEX($B$5:$K$5,$A39),0))</f>
        <v>84895.459972440731</v>
      </c>
      <c r="L39" s="52">
        <f>IF(L$29&lt;$A39,INDEX('Cash Flow Model'!$C$19:$L$19,L$29),IF(L$29=$A39,INDEX('Cash Flow Model'!$C$19:$L$19,L$29)+INDEX($B$4:$K$4,$A39)-INDEX($B$5:$K$5,$A39),0))</f>
        <v>947231.3698478383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"/>
  <sheetViews>
    <sheetView showGridLines="0" zoomScaleNormal="100" workbookViewId="0">
      <selection activeCell="B4" sqref="B4"/>
    </sheetView>
  </sheetViews>
  <sheetFormatPr defaultColWidth="8.7109375" defaultRowHeight="15" x14ac:dyDescent="0.25"/>
  <cols>
    <col min="1" max="1" width="33.85546875" bestFit="1" customWidth="1"/>
    <col min="2" max="12" width="13" customWidth="1"/>
  </cols>
  <sheetData>
    <row r="1" spans="1:12" ht="18" customHeight="1" x14ac:dyDescent="0.3">
      <c r="A1" s="1" t="s">
        <v>240</v>
      </c>
    </row>
    <row r="3" spans="1:12" ht="15" customHeight="1" x14ac:dyDescent="0.25">
      <c r="A3" s="4" t="s">
        <v>54</v>
      </c>
      <c r="B3" s="4"/>
    </row>
    <row r="4" spans="1:12" ht="15" customHeight="1" x14ac:dyDescent="0.25">
      <c r="A4" s="2" t="s">
        <v>131</v>
      </c>
      <c r="B4" s="112">
        <f>'BOV '!B20</f>
        <v>733923.50268795737</v>
      </c>
    </row>
    <row r="5" spans="1:12" ht="15" customHeight="1" x14ac:dyDescent="0.25">
      <c r="A5" s="2" t="s">
        <v>132</v>
      </c>
      <c r="B5" s="113">
        <f>'BOV '!B21</f>
        <v>6.8699999999999997E-2</v>
      </c>
    </row>
    <row r="6" spans="1:12" ht="15" customHeight="1" x14ac:dyDescent="0.25">
      <c r="A6" s="2" t="s">
        <v>61</v>
      </c>
      <c r="B6" s="112">
        <f>'BOV '!B35</f>
        <v>30</v>
      </c>
    </row>
    <row r="7" spans="1:12" ht="15" customHeight="1" x14ac:dyDescent="0.25">
      <c r="A7" s="2" t="s">
        <v>133</v>
      </c>
      <c r="B7" s="112">
        <f>PMT(B5,B6,-B4)</f>
        <v>58373.773645537047</v>
      </c>
    </row>
    <row r="8" spans="1:12" ht="15" customHeight="1" x14ac:dyDescent="0.25">
      <c r="A8" s="2" t="s">
        <v>134</v>
      </c>
      <c r="B8" s="112">
        <f>'BOV '!B36</f>
        <v>0</v>
      </c>
    </row>
    <row r="9" spans="1:12" ht="15" customHeight="1" x14ac:dyDescent="0.25">
      <c r="A9" s="2"/>
      <c r="B9" s="104"/>
    </row>
    <row r="10" spans="1:12" ht="15" customHeight="1" x14ac:dyDescent="0.25">
      <c r="A10" s="9" t="s">
        <v>135</v>
      </c>
      <c r="B10" s="9" t="s">
        <v>65</v>
      </c>
      <c r="C10" s="9" t="s">
        <v>66</v>
      </c>
      <c r="D10" s="9" t="s">
        <v>67</v>
      </c>
      <c r="E10" s="9" t="s">
        <v>68</v>
      </c>
      <c r="F10" s="9" t="s">
        <v>69</v>
      </c>
      <c r="G10" s="9" t="s">
        <v>70</v>
      </c>
      <c r="H10" s="9" t="s">
        <v>71</v>
      </c>
      <c r="I10" s="9" t="s">
        <v>72</v>
      </c>
      <c r="J10" s="9" t="s">
        <v>73</v>
      </c>
      <c r="K10" s="9" t="s">
        <v>74</v>
      </c>
      <c r="L10" s="9" t="s">
        <v>18</v>
      </c>
    </row>
    <row r="11" spans="1:12" ht="15" customHeight="1" x14ac:dyDescent="0.25">
      <c r="A11" s="98" t="s">
        <v>136</v>
      </c>
      <c r="B11" s="99">
        <f>B4</f>
        <v>733923.50268795737</v>
      </c>
      <c r="C11" s="99">
        <f t="shared" ref="C11:K11" si="0">B15</f>
        <v>725970.27367708297</v>
      </c>
      <c r="D11" s="99">
        <f t="shared" si="0"/>
        <v>717470.65783316153</v>
      </c>
      <c r="E11" s="99">
        <f t="shared" si="0"/>
        <v>708387.11838076264</v>
      </c>
      <c r="F11" s="99">
        <f t="shared" si="0"/>
        <v>698679.53976798395</v>
      </c>
      <c r="G11" s="99">
        <f t="shared" si="0"/>
        <v>688305.05050450738</v>
      </c>
      <c r="H11" s="99">
        <f t="shared" si="0"/>
        <v>677217.83382863004</v>
      </c>
      <c r="I11" s="99">
        <f t="shared" si="0"/>
        <v>665368.92536711984</v>
      </c>
      <c r="J11" s="99">
        <f t="shared" si="0"/>
        <v>652705.99689430394</v>
      </c>
      <c r="K11" s="99">
        <f t="shared" si="0"/>
        <v>639173.12523540552</v>
      </c>
      <c r="L11" s="100"/>
    </row>
    <row r="12" spans="1:12" ht="15" customHeight="1" x14ac:dyDescent="0.25">
      <c r="A12" s="98" t="s">
        <v>137</v>
      </c>
      <c r="B12" s="99">
        <f>IF(COLUMNS($B$10:B$10)&lt;=$B$8,B11*$B$5,$B$7)</f>
        <v>58373.773645537047</v>
      </c>
      <c r="C12" s="99">
        <f>IF(COLUMNS($B$10:C$10)&lt;=$B$8,C11*$B$5,$B$7)</f>
        <v>58373.773645537047</v>
      </c>
      <c r="D12" s="99">
        <f>IF(COLUMNS($B$10:D$10)&lt;=$B$8,D11*$B$5,$B$7)</f>
        <v>58373.773645537047</v>
      </c>
      <c r="E12" s="99">
        <f>IF(COLUMNS($B$10:E$10)&lt;=$B$8,E11*$B$5,$B$7)</f>
        <v>58373.773645537047</v>
      </c>
      <c r="F12" s="99">
        <f>IF(COLUMNS($B$10:F$10)&lt;=$B$8,F11*$B$5,$B$7)</f>
        <v>58373.773645537047</v>
      </c>
      <c r="G12" s="99">
        <f>IF(COLUMNS($B$10:G$10)&lt;=$B$8,G11*$B$5,$B$7)</f>
        <v>58373.773645537047</v>
      </c>
      <c r="H12" s="99">
        <f>IF(COLUMNS($B$10:H$10)&lt;=$B$8,H11*$B$5,$B$7)</f>
        <v>58373.773645537047</v>
      </c>
      <c r="I12" s="99">
        <f>IF(COLUMNS($B$10:I$10)&lt;=$B$8,I11*$B$5,$B$7)</f>
        <v>58373.773645537047</v>
      </c>
      <c r="J12" s="99">
        <f>IF(COLUMNS($B$10:J$10)&lt;=$B$8,J11*$B$5,$B$7)</f>
        <v>58373.773645537047</v>
      </c>
      <c r="K12" s="99">
        <f>IF(COLUMNS($B$10:K$10)&lt;=$B$8,K11*$B$5,$B$7)</f>
        <v>58373.773645537047</v>
      </c>
      <c r="L12" s="101">
        <f>SUM(B12:K12)</f>
        <v>583737.73645537044</v>
      </c>
    </row>
    <row r="13" spans="1:12" ht="15" customHeight="1" x14ac:dyDescent="0.25">
      <c r="A13" s="98" t="s">
        <v>84</v>
      </c>
      <c r="B13" s="99">
        <f t="shared" ref="B13:K13" si="1">B11*$B$5</f>
        <v>50420.54463466267</v>
      </c>
      <c r="C13" s="99">
        <f t="shared" si="1"/>
        <v>49874.157801615598</v>
      </c>
      <c r="D13" s="99">
        <f t="shared" si="1"/>
        <v>49290.234193138196</v>
      </c>
      <c r="E13" s="99">
        <f t="shared" si="1"/>
        <v>48666.195032758391</v>
      </c>
      <c r="F13" s="99">
        <f t="shared" si="1"/>
        <v>47999.284382060498</v>
      </c>
      <c r="G13" s="99">
        <f t="shared" si="1"/>
        <v>47286.556969659658</v>
      </c>
      <c r="H13" s="99">
        <f t="shared" si="1"/>
        <v>46524.865184026879</v>
      </c>
      <c r="I13" s="99">
        <f t="shared" si="1"/>
        <v>45710.845172721129</v>
      </c>
      <c r="J13" s="99">
        <f t="shared" si="1"/>
        <v>44840.901986638681</v>
      </c>
      <c r="K13" s="99">
        <f t="shared" si="1"/>
        <v>43911.193703672354</v>
      </c>
      <c r="L13" s="101">
        <f>SUM(B13:K13)</f>
        <v>474524.77906095411</v>
      </c>
    </row>
    <row r="14" spans="1:12" ht="15" customHeight="1" x14ac:dyDescent="0.25">
      <c r="A14" s="98" t="s">
        <v>85</v>
      </c>
      <c r="B14" s="99">
        <f t="shared" ref="B14:K14" si="2">B12-B13</f>
        <v>7953.2290108743764</v>
      </c>
      <c r="C14" s="99">
        <f t="shared" si="2"/>
        <v>8499.6158439214487</v>
      </c>
      <c r="D14" s="99">
        <f t="shared" si="2"/>
        <v>9083.5394523988507</v>
      </c>
      <c r="E14" s="99">
        <f t="shared" si="2"/>
        <v>9707.578612778656</v>
      </c>
      <c r="F14" s="99">
        <f t="shared" si="2"/>
        <v>10374.489263476549</v>
      </c>
      <c r="G14" s="99">
        <f t="shared" si="2"/>
        <v>11087.216675877389</v>
      </c>
      <c r="H14" s="99">
        <f t="shared" si="2"/>
        <v>11848.908461510167</v>
      </c>
      <c r="I14" s="99">
        <f t="shared" si="2"/>
        <v>12662.928472815918</v>
      </c>
      <c r="J14" s="99">
        <f t="shared" si="2"/>
        <v>13532.871658898366</v>
      </c>
      <c r="K14" s="99">
        <f t="shared" si="2"/>
        <v>14462.579941864693</v>
      </c>
      <c r="L14" s="101">
        <f>SUM(B14:K14)</f>
        <v>109212.95739441643</v>
      </c>
    </row>
    <row r="15" spans="1:12" ht="15" customHeight="1" x14ac:dyDescent="0.25">
      <c r="A15" s="98" t="s">
        <v>138</v>
      </c>
      <c r="B15" s="101">
        <f t="shared" ref="B15:K15" si="3">B11-B14</f>
        <v>725970.27367708297</v>
      </c>
      <c r="C15" s="101">
        <f t="shared" si="3"/>
        <v>717470.65783316153</v>
      </c>
      <c r="D15" s="101">
        <f t="shared" si="3"/>
        <v>708387.11838076264</v>
      </c>
      <c r="E15" s="101">
        <f t="shared" si="3"/>
        <v>698679.53976798395</v>
      </c>
      <c r="F15" s="101">
        <f t="shared" si="3"/>
        <v>688305.05050450738</v>
      </c>
      <c r="G15" s="101">
        <f t="shared" si="3"/>
        <v>677217.83382863004</v>
      </c>
      <c r="H15" s="101">
        <f t="shared" si="3"/>
        <v>665368.92536711984</v>
      </c>
      <c r="I15" s="101">
        <f t="shared" si="3"/>
        <v>652705.99689430394</v>
      </c>
      <c r="J15" s="101">
        <f t="shared" si="3"/>
        <v>639173.12523540552</v>
      </c>
      <c r="K15" s="101">
        <f t="shared" si="3"/>
        <v>624710.54529354081</v>
      </c>
      <c r="L15" s="100"/>
    </row>
    <row r="16" spans="1:12" ht="15" customHeight="1" x14ac:dyDescent="0.25">
      <c r="A16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FFF6-32B7-4377-9603-E47DC994F39E}">
  <dimension ref="A1:Q33"/>
  <sheetViews>
    <sheetView showGridLines="0" topLeftCell="A12" workbookViewId="0">
      <selection activeCell="C13" sqref="C13"/>
    </sheetView>
  </sheetViews>
  <sheetFormatPr defaultRowHeight="15" x14ac:dyDescent="0.25"/>
  <cols>
    <col min="1" max="1" width="21.5703125" bestFit="1" customWidth="1"/>
    <col min="2" max="2" width="11.5703125" bestFit="1" customWidth="1"/>
    <col min="3" max="3" width="15" customWidth="1"/>
    <col min="4" max="4" width="11.7109375" bestFit="1" customWidth="1"/>
    <col min="5" max="6" width="8.7109375" customWidth="1"/>
    <col min="7" max="16" width="10.140625" bestFit="1" customWidth="1"/>
    <col min="17" max="17" width="11.140625" bestFit="1" customWidth="1"/>
  </cols>
  <sheetData>
    <row r="1" spans="1:17" ht="9.9499999999999993" customHeight="1" x14ac:dyDescent="0.25"/>
    <row r="2" spans="1:17" ht="19.5" x14ac:dyDescent="0.3">
      <c r="A2" s="1" t="s">
        <v>241</v>
      </c>
    </row>
    <row r="3" spans="1:17" x14ac:dyDescent="0.25">
      <c r="A3" t="s">
        <v>147</v>
      </c>
    </row>
    <row r="4" spans="1:17" x14ac:dyDescent="0.25">
      <c r="A4" t="s">
        <v>242</v>
      </c>
    </row>
    <row r="5" spans="1:17" x14ac:dyDescent="0.25">
      <c r="A5" s="4" t="s">
        <v>54</v>
      </c>
      <c r="B5" s="4"/>
    </row>
    <row r="6" spans="1:17" x14ac:dyDescent="0.25">
      <c r="A6" t="s">
        <v>148</v>
      </c>
      <c r="B6" s="110">
        <v>20</v>
      </c>
    </row>
    <row r="7" spans="1:17" x14ac:dyDescent="0.25">
      <c r="A7" t="s">
        <v>149</v>
      </c>
      <c r="B7" s="110">
        <v>500</v>
      </c>
    </row>
    <row r="8" spans="1:17" x14ac:dyDescent="0.25">
      <c r="A8" t="s">
        <v>150</v>
      </c>
      <c r="B8" s="110">
        <v>5</v>
      </c>
    </row>
    <row r="9" spans="1:17" x14ac:dyDescent="0.25">
      <c r="A9" t="s">
        <v>151</v>
      </c>
      <c r="B9" s="111">
        <f>'POH '!P17</f>
        <v>0.02</v>
      </c>
    </row>
    <row r="10" spans="1:17" x14ac:dyDescent="0.25">
      <c r="A10" t="s">
        <v>152</v>
      </c>
      <c r="B10" s="112">
        <f>7412*12</f>
        <v>88944</v>
      </c>
    </row>
    <row r="11" spans="1:17" x14ac:dyDescent="0.25">
      <c r="G11" s="25">
        <v>1</v>
      </c>
      <c r="H11" s="25">
        <v>2</v>
      </c>
      <c r="I11" s="25">
        <v>3</v>
      </c>
      <c r="J11" s="25">
        <v>4</v>
      </c>
      <c r="K11" s="25">
        <v>5</v>
      </c>
      <c r="L11" s="25">
        <v>6</v>
      </c>
      <c r="M11" s="25">
        <v>7</v>
      </c>
      <c r="N11" s="25">
        <v>8</v>
      </c>
      <c r="O11" s="25">
        <v>9</v>
      </c>
      <c r="P11" s="25">
        <v>10</v>
      </c>
    </row>
    <row r="12" spans="1:17" ht="20.100000000000001" customHeight="1" x14ac:dyDescent="0.25">
      <c r="A12" s="9" t="s">
        <v>153</v>
      </c>
      <c r="B12" s="62" t="s">
        <v>252</v>
      </c>
      <c r="C12" s="9" t="s">
        <v>154</v>
      </c>
      <c r="D12" s="62" t="s">
        <v>155</v>
      </c>
      <c r="E12" s="62" t="s">
        <v>156</v>
      </c>
      <c r="F12" s="62" t="s">
        <v>157</v>
      </c>
      <c r="G12" s="62" t="s">
        <v>65</v>
      </c>
      <c r="H12" s="62" t="s">
        <v>66</v>
      </c>
      <c r="I12" s="62" t="s">
        <v>67</v>
      </c>
      <c r="J12" s="62" t="s">
        <v>68</v>
      </c>
      <c r="K12" s="62" t="s">
        <v>69</v>
      </c>
      <c r="L12" s="62" t="s">
        <v>70</v>
      </c>
      <c r="M12" s="62" t="s">
        <v>71</v>
      </c>
      <c r="N12" s="62" t="s">
        <v>72</v>
      </c>
      <c r="O12" s="62" t="s">
        <v>73</v>
      </c>
      <c r="P12" s="62" t="s">
        <v>74</v>
      </c>
      <c r="Q12" s="62" t="s">
        <v>158</v>
      </c>
    </row>
    <row r="13" spans="1:17" x14ac:dyDescent="0.25">
      <c r="A13" s="164" t="s">
        <v>194</v>
      </c>
      <c r="B13" s="99">
        <v>450</v>
      </c>
      <c r="C13" s="99">
        <f t="shared" ref="C13:C32" si="0">B13*12</f>
        <v>5400</v>
      </c>
      <c r="D13" s="166">
        <f t="shared" ref="D13:D32" si="1">$B$8</f>
        <v>5</v>
      </c>
      <c r="E13" s="166">
        <f t="shared" ref="E13:E21" si="2">D13</f>
        <v>5</v>
      </c>
      <c r="F13" s="99">
        <f>B13</f>
        <v>450</v>
      </c>
      <c r="G13" s="99">
        <f t="shared" ref="G13:P22" si="3">IF(G$11&lt;=$D13,$C13*(1+$B$9)^(G$11-1),0)</f>
        <v>5400</v>
      </c>
      <c r="H13" s="99">
        <f t="shared" si="3"/>
        <v>5508</v>
      </c>
      <c r="I13" s="99">
        <f t="shared" si="3"/>
        <v>5618.16</v>
      </c>
      <c r="J13" s="99">
        <f t="shared" si="3"/>
        <v>5730.5231999999996</v>
      </c>
      <c r="K13" s="99">
        <f t="shared" si="3"/>
        <v>5845.133664</v>
      </c>
      <c r="L13" s="99">
        <f t="shared" si="3"/>
        <v>0</v>
      </c>
      <c r="M13" s="99">
        <f t="shared" si="3"/>
        <v>0</v>
      </c>
      <c r="N13" s="99">
        <f t="shared" si="3"/>
        <v>0</v>
      </c>
      <c r="O13" s="99">
        <f t="shared" si="3"/>
        <v>0</v>
      </c>
      <c r="P13" s="99">
        <f t="shared" si="3"/>
        <v>0</v>
      </c>
      <c r="Q13" s="99">
        <f t="shared" ref="Q13:Q21" si="4">SUM(G13:P13)</f>
        <v>28101.816864</v>
      </c>
    </row>
    <row r="14" spans="1:17" x14ac:dyDescent="0.25">
      <c r="A14" s="164" t="s">
        <v>195</v>
      </c>
      <c r="B14" s="99">
        <v>400</v>
      </c>
      <c r="C14" s="99">
        <f t="shared" si="0"/>
        <v>4800</v>
      </c>
      <c r="D14" s="166">
        <f t="shared" si="1"/>
        <v>5</v>
      </c>
      <c r="E14" s="166">
        <f t="shared" si="2"/>
        <v>5</v>
      </c>
      <c r="F14" s="99">
        <f t="shared" ref="F14:F32" si="5">B14</f>
        <v>400</v>
      </c>
      <c r="G14" s="99">
        <f t="shared" si="3"/>
        <v>4800</v>
      </c>
      <c r="H14" s="99">
        <f t="shared" si="3"/>
        <v>4896</v>
      </c>
      <c r="I14" s="99">
        <f t="shared" si="3"/>
        <v>4993.92</v>
      </c>
      <c r="J14" s="99">
        <f t="shared" si="3"/>
        <v>5093.7983999999997</v>
      </c>
      <c r="K14" s="99">
        <f t="shared" si="3"/>
        <v>5195.674368</v>
      </c>
      <c r="L14" s="99">
        <f t="shared" si="3"/>
        <v>0</v>
      </c>
      <c r="M14" s="99">
        <f t="shared" si="3"/>
        <v>0</v>
      </c>
      <c r="N14" s="99">
        <f t="shared" si="3"/>
        <v>0</v>
      </c>
      <c r="O14" s="99">
        <f t="shared" si="3"/>
        <v>0</v>
      </c>
      <c r="P14" s="99">
        <f t="shared" si="3"/>
        <v>0</v>
      </c>
      <c r="Q14" s="99">
        <f t="shared" si="4"/>
        <v>24979.392767999998</v>
      </c>
    </row>
    <row r="15" spans="1:17" x14ac:dyDescent="0.25">
      <c r="A15" s="164" t="s">
        <v>196</v>
      </c>
      <c r="B15" s="99">
        <v>400</v>
      </c>
      <c r="C15" s="99">
        <f t="shared" si="0"/>
        <v>4800</v>
      </c>
      <c r="D15" s="166">
        <f t="shared" si="1"/>
        <v>5</v>
      </c>
      <c r="E15" s="166">
        <f t="shared" si="2"/>
        <v>5</v>
      </c>
      <c r="F15" s="99">
        <f t="shared" si="5"/>
        <v>400</v>
      </c>
      <c r="G15" s="99">
        <f t="shared" si="3"/>
        <v>4800</v>
      </c>
      <c r="H15" s="99">
        <f t="shared" si="3"/>
        <v>4896</v>
      </c>
      <c r="I15" s="99">
        <f t="shared" si="3"/>
        <v>4993.92</v>
      </c>
      <c r="J15" s="99">
        <f t="shared" si="3"/>
        <v>5093.7983999999997</v>
      </c>
      <c r="K15" s="99">
        <f t="shared" si="3"/>
        <v>5195.674368</v>
      </c>
      <c r="L15" s="99">
        <f t="shared" si="3"/>
        <v>0</v>
      </c>
      <c r="M15" s="99">
        <f t="shared" si="3"/>
        <v>0</v>
      </c>
      <c r="N15" s="99">
        <f t="shared" si="3"/>
        <v>0</v>
      </c>
      <c r="O15" s="99">
        <f t="shared" si="3"/>
        <v>0</v>
      </c>
      <c r="P15" s="99">
        <f t="shared" si="3"/>
        <v>0</v>
      </c>
      <c r="Q15" s="99">
        <f t="shared" si="4"/>
        <v>24979.392767999998</v>
      </c>
    </row>
    <row r="16" spans="1:17" x14ac:dyDescent="0.25">
      <c r="A16" s="164" t="s">
        <v>197</v>
      </c>
      <c r="B16" s="99">
        <v>400</v>
      </c>
      <c r="C16" s="99">
        <f t="shared" si="0"/>
        <v>4800</v>
      </c>
      <c r="D16" s="166">
        <f t="shared" si="1"/>
        <v>5</v>
      </c>
      <c r="E16" s="166">
        <f t="shared" si="2"/>
        <v>5</v>
      </c>
      <c r="F16" s="99">
        <f t="shared" si="5"/>
        <v>400</v>
      </c>
      <c r="G16" s="99">
        <f t="shared" si="3"/>
        <v>4800</v>
      </c>
      <c r="H16" s="99">
        <f t="shared" si="3"/>
        <v>4896</v>
      </c>
      <c r="I16" s="99">
        <f t="shared" si="3"/>
        <v>4993.92</v>
      </c>
      <c r="J16" s="99">
        <f t="shared" si="3"/>
        <v>5093.7983999999997</v>
      </c>
      <c r="K16" s="99">
        <f t="shared" si="3"/>
        <v>5195.674368</v>
      </c>
      <c r="L16" s="99">
        <f t="shared" si="3"/>
        <v>0</v>
      </c>
      <c r="M16" s="99">
        <f t="shared" si="3"/>
        <v>0</v>
      </c>
      <c r="N16" s="99">
        <f t="shared" si="3"/>
        <v>0</v>
      </c>
      <c r="O16" s="99">
        <f t="shared" si="3"/>
        <v>0</v>
      </c>
      <c r="P16" s="99">
        <f t="shared" si="3"/>
        <v>0</v>
      </c>
      <c r="Q16" s="99">
        <f t="shared" si="4"/>
        <v>24979.392767999998</v>
      </c>
    </row>
    <row r="17" spans="1:17" x14ac:dyDescent="0.25">
      <c r="A17" s="164" t="s">
        <v>198</v>
      </c>
      <c r="B17" s="99">
        <v>350</v>
      </c>
      <c r="C17" s="99">
        <f t="shared" si="0"/>
        <v>4200</v>
      </c>
      <c r="D17" s="166">
        <f t="shared" si="1"/>
        <v>5</v>
      </c>
      <c r="E17" s="166">
        <f t="shared" si="2"/>
        <v>5</v>
      </c>
      <c r="F17" s="99">
        <f t="shared" si="5"/>
        <v>350</v>
      </c>
      <c r="G17" s="99">
        <f t="shared" si="3"/>
        <v>4200</v>
      </c>
      <c r="H17" s="99">
        <f t="shared" si="3"/>
        <v>4284</v>
      </c>
      <c r="I17" s="99">
        <f t="shared" si="3"/>
        <v>4369.68</v>
      </c>
      <c r="J17" s="99">
        <f t="shared" si="3"/>
        <v>4457.0735999999997</v>
      </c>
      <c r="K17" s="99">
        <f t="shared" si="3"/>
        <v>4546.215072</v>
      </c>
      <c r="L17" s="99">
        <f t="shared" si="3"/>
        <v>0</v>
      </c>
      <c r="M17" s="99">
        <f t="shared" si="3"/>
        <v>0</v>
      </c>
      <c r="N17" s="99">
        <f t="shared" si="3"/>
        <v>0</v>
      </c>
      <c r="O17" s="99">
        <f t="shared" si="3"/>
        <v>0</v>
      </c>
      <c r="P17" s="99">
        <f t="shared" si="3"/>
        <v>0</v>
      </c>
      <c r="Q17" s="99">
        <f t="shared" si="4"/>
        <v>21856.968671999999</v>
      </c>
    </row>
    <row r="18" spans="1:17" x14ac:dyDescent="0.25">
      <c r="A18" s="164" t="s">
        <v>199</v>
      </c>
      <c r="B18" s="99">
        <v>400</v>
      </c>
      <c r="C18" s="99">
        <f t="shared" si="0"/>
        <v>4800</v>
      </c>
      <c r="D18" s="166">
        <f t="shared" si="1"/>
        <v>5</v>
      </c>
      <c r="E18" s="166">
        <f t="shared" si="2"/>
        <v>5</v>
      </c>
      <c r="F18" s="99">
        <f t="shared" si="5"/>
        <v>400</v>
      </c>
      <c r="G18" s="99">
        <f t="shared" si="3"/>
        <v>4800</v>
      </c>
      <c r="H18" s="99">
        <f t="shared" si="3"/>
        <v>4896</v>
      </c>
      <c r="I18" s="99">
        <f t="shared" si="3"/>
        <v>4993.92</v>
      </c>
      <c r="J18" s="99">
        <f t="shared" si="3"/>
        <v>5093.7983999999997</v>
      </c>
      <c r="K18" s="99">
        <f t="shared" si="3"/>
        <v>5195.674368</v>
      </c>
      <c r="L18" s="99">
        <f t="shared" si="3"/>
        <v>0</v>
      </c>
      <c r="M18" s="99">
        <f t="shared" si="3"/>
        <v>0</v>
      </c>
      <c r="N18" s="99">
        <f t="shared" si="3"/>
        <v>0</v>
      </c>
      <c r="O18" s="99">
        <f t="shared" si="3"/>
        <v>0</v>
      </c>
      <c r="P18" s="99">
        <f t="shared" si="3"/>
        <v>0</v>
      </c>
      <c r="Q18" s="99">
        <f t="shared" si="4"/>
        <v>24979.392767999998</v>
      </c>
    </row>
    <row r="19" spans="1:17" x14ac:dyDescent="0.25">
      <c r="A19" s="164" t="s">
        <v>200</v>
      </c>
      <c r="B19" s="99">
        <v>525</v>
      </c>
      <c r="C19" s="99">
        <f t="shared" si="0"/>
        <v>6300</v>
      </c>
      <c r="D19" s="166">
        <f t="shared" si="1"/>
        <v>5</v>
      </c>
      <c r="E19" s="166">
        <f t="shared" si="2"/>
        <v>5</v>
      </c>
      <c r="F19" s="99">
        <f t="shared" si="5"/>
        <v>525</v>
      </c>
      <c r="G19" s="99">
        <f t="shared" si="3"/>
        <v>6300</v>
      </c>
      <c r="H19" s="99">
        <f t="shared" si="3"/>
        <v>6426</v>
      </c>
      <c r="I19" s="99">
        <f t="shared" si="3"/>
        <v>6554.5199999999995</v>
      </c>
      <c r="J19" s="99">
        <f t="shared" si="3"/>
        <v>6685.6103999999996</v>
      </c>
      <c r="K19" s="99">
        <f t="shared" si="3"/>
        <v>6819.3226079999995</v>
      </c>
      <c r="L19" s="99">
        <f t="shared" si="3"/>
        <v>0</v>
      </c>
      <c r="M19" s="99">
        <f t="shared" si="3"/>
        <v>0</v>
      </c>
      <c r="N19" s="99">
        <f t="shared" si="3"/>
        <v>0</v>
      </c>
      <c r="O19" s="99">
        <f t="shared" si="3"/>
        <v>0</v>
      </c>
      <c r="P19" s="99">
        <f t="shared" si="3"/>
        <v>0</v>
      </c>
      <c r="Q19" s="99">
        <f t="shared" si="4"/>
        <v>32785.453008000004</v>
      </c>
    </row>
    <row r="20" spans="1:17" x14ac:dyDescent="0.25">
      <c r="A20" s="164" t="s">
        <v>201</v>
      </c>
      <c r="B20" s="99">
        <v>350</v>
      </c>
      <c r="C20" s="99">
        <f t="shared" si="0"/>
        <v>4200</v>
      </c>
      <c r="D20" s="166">
        <f t="shared" si="1"/>
        <v>5</v>
      </c>
      <c r="E20" s="166">
        <f t="shared" si="2"/>
        <v>5</v>
      </c>
      <c r="F20" s="99">
        <f t="shared" si="5"/>
        <v>350</v>
      </c>
      <c r="G20" s="99">
        <f t="shared" si="3"/>
        <v>4200</v>
      </c>
      <c r="H20" s="99">
        <f t="shared" si="3"/>
        <v>4284</v>
      </c>
      <c r="I20" s="99">
        <f t="shared" si="3"/>
        <v>4369.68</v>
      </c>
      <c r="J20" s="99">
        <f t="shared" si="3"/>
        <v>4457.0735999999997</v>
      </c>
      <c r="K20" s="99">
        <f t="shared" si="3"/>
        <v>4546.215072</v>
      </c>
      <c r="L20" s="99">
        <f t="shared" si="3"/>
        <v>0</v>
      </c>
      <c r="M20" s="99">
        <f t="shared" si="3"/>
        <v>0</v>
      </c>
      <c r="N20" s="99">
        <f t="shared" si="3"/>
        <v>0</v>
      </c>
      <c r="O20" s="99">
        <f t="shared" si="3"/>
        <v>0</v>
      </c>
      <c r="P20" s="99">
        <f t="shared" si="3"/>
        <v>0</v>
      </c>
      <c r="Q20" s="99">
        <f t="shared" si="4"/>
        <v>21856.968671999999</v>
      </c>
    </row>
    <row r="21" spans="1:17" x14ac:dyDescent="0.25">
      <c r="A21" s="164" t="s">
        <v>202</v>
      </c>
      <c r="B21" s="99">
        <v>400</v>
      </c>
      <c r="C21" s="99">
        <f t="shared" si="0"/>
        <v>4800</v>
      </c>
      <c r="D21" s="166">
        <f t="shared" si="1"/>
        <v>5</v>
      </c>
      <c r="E21" s="166">
        <f t="shared" si="2"/>
        <v>5</v>
      </c>
      <c r="F21" s="99">
        <f t="shared" si="5"/>
        <v>400</v>
      </c>
      <c r="G21" s="99">
        <f t="shared" si="3"/>
        <v>4800</v>
      </c>
      <c r="H21" s="99">
        <f t="shared" si="3"/>
        <v>4896</v>
      </c>
      <c r="I21" s="99">
        <f t="shared" si="3"/>
        <v>4993.92</v>
      </c>
      <c r="J21" s="99">
        <f t="shared" si="3"/>
        <v>5093.7983999999997</v>
      </c>
      <c r="K21" s="99">
        <f t="shared" si="3"/>
        <v>5195.674368</v>
      </c>
      <c r="L21" s="99">
        <f t="shared" si="3"/>
        <v>0</v>
      </c>
      <c r="M21" s="99">
        <f t="shared" si="3"/>
        <v>0</v>
      </c>
      <c r="N21" s="99">
        <f t="shared" si="3"/>
        <v>0</v>
      </c>
      <c r="O21" s="99">
        <f t="shared" si="3"/>
        <v>0</v>
      </c>
      <c r="P21" s="99">
        <f t="shared" si="3"/>
        <v>0</v>
      </c>
      <c r="Q21" s="99">
        <f t="shared" si="4"/>
        <v>24979.392767999998</v>
      </c>
    </row>
    <row r="22" spans="1:17" x14ac:dyDescent="0.25">
      <c r="A22" s="164" t="s">
        <v>203</v>
      </c>
      <c r="B22" s="99">
        <v>400</v>
      </c>
      <c r="C22" s="99">
        <f t="shared" si="0"/>
        <v>4800</v>
      </c>
      <c r="D22" s="166">
        <f t="shared" si="1"/>
        <v>5</v>
      </c>
      <c r="E22" s="166">
        <f t="shared" ref="E22:E32" si="6">D22</f>
        <v>5</v>
      </c>
      <c r="F22" s="99">
        <f t="shared" si="5"/>
        <v>400</v>
      </c>
      <c r="G22" s="99">
        <f t="shared" si="3"/>
        <v>4800</v>
      </c>
      <c r="H22" s="99">
        <f t="shared" si="3"/>
        <v>4896</v>
      </c>
      <c r="I22" s="99">
        <f t="shared" si="3"/>
        <v>4993.92</v>
      </c>
      <c r="J22" s="99">
        <f t="shared" si="3"/>
        <v>5093.7983999999997</v>
      </c>
      <c r="K22" s="99">
        <f t="shared" si="3"/>
        <v>5195.674368</v>
      </c>
      <c r="L22" s="99">
        <f t="shared" si="3"/>
        <v>0</v>
      </c>
      <c r="M22" s="99">
        <f t="shared" si="3"/>
        <v>0</v>
      </c>
      <c r="N22" s="99">
        <f t="shared" si="3"/>
        <v>0</v>
      </c>
      <c r="O22" s="99">
        <f t="shared" si="3"/>
        <v>0</v>
      </c>
      <c r="P22" s="99">
        <f t="shared" si="3"/>
        <v>0</v>
      </c>
      <c r="Q22" s="99">
        <f t="shared" ref="Q22:Q32" si="7">SUM(G22:P22)</f>
        <v>24979.392767999998</v>
      </c>
    </row>
    <row r="23" spans="1:17" x14ac:dyDescent="0.25">
      <c r="A23" s="164" t="s">
        <v>204</v>
      </c>
      <c r="B23" s="99">
        <v>300</v>
      </c>
      <c r="C23" s="99">
        <f t="shared" si="0"/>
        <v>3600</v>
      </c>
      <c r="D23" s="166">
        <f t="shared" si="1"/>
        <v>5</v>
      </c>
      <c r="E23" s="166">
        <f t="shared" si="6"/>
        <v>5</v>
      </c>
      <c r="F23" s="99">
        <f t="shared" si="5"/>
        <v>300</v>
      </c>
      <c r="G23" s="99">
        <f t="shared" ref="G23:P32" si="8">IF(G$11&lt;=$D23,$C23*(1+$B$9)^(G$11-1),0)</f>
        <v>3600</v>
      </c>
      <c r="H23" s="99">
        <f t="shared" si="8"/>
        <v>3672</v>
      </c>
      <c r="I23" s="99">
        <f t="shared" si="8"/>
        <v>3745.44</v>
      </c>
      <c r="J23" s="99">
        <f t="shared" si="8"/>
        <v>3820.3487999999998</v>
      </c>
      <c r="K23" s="99">
        <f t="shared" si="8"/>
        <v>3896.755776</v>
      </c>
      <c r="L23" s="99">
        <f t="shared" si="8"/>
        <v>0</v>
      </c>
      <c r="M23" s="99">
        <f t="shared" si="8"/>
        <v>0</v>
      </c>
      <c r="N23" s="99">
        <f t="shared" si="8"/>
        <v>0</v>
      </c>
      <c r="O23" s="99">
        <f t="shared" si="8"/>
        <v>0</v>
      </c>
      <c r="P23" s="99">
        <f t="shared" si="8"/>
        <v>0</v>
      </c>
      <c r="Q23" s="99">
        <f t="shared" si="7"/>
        <v>18734.544576</v>
      </c>
    </row>
    <row r="24" spans="1:17" x14ac:dyDescent="0.25">
      <c r="A24" s="164" t="s">
        <v>205</v>
      </c>
      <c r="B24" s="99">
        <v>400</v>
      </c>
      <c r="C24" s="99">
        <f t="shared" si="0"/>
        <v>4800</v>
      </c>
      <c r="D24" s="166">
        <f t="shared" si="1"/>
        <v>5</v>
      </c>
      <c r="E24" s="166">
        <f t="shared" si="6"/>
        <v>5</v>
      </c>
      <c r="F24" s="99">
        <f t="shared" si="5"/>
        <v>400</v>
      </c>
      <c r="G24" s="99">
        <f t="shared" si="8"/>
        <v>4800</v>
      </c>
      <c r="H24" s="99">
        <f t="shared" si="8"/>
        <v>4896</v>
      </c>
      <c r="I24" s="99">
        <f t="shared" si="8"/>
        <v>4993.92</v>
      </c>
      <c r="J24" s="99">
        <f t="shared" si="8"/>
        <v>5093.7983999999997</v>
      </c>
      <c r="K24" s="99">
        <f t="shared" si="8"/>
        <v>5195.674368</v>
      </c>
      <c r="L24" s="99">
        <f t="shared" si="8"/>
        <v>0</v>
      </c>
      <c r="M24" s="99">
        <f t="shared" si="8"/>
        <v>0</v>
      </c>
      <c r="N24" s="99">
        <f t="shared" si="8"/>
        <v>0</v>
      </c>
      <c r="O24" s="99">
        <f t="shared" si="8"/>
        <v>0</v>
      </c>
      <c r="P24" s="99">
        <f t="shared" si="8"/>
        <v>0</v>
      </c>
      <c r="Q24" s="99">
        <f t="shared" si="7"/>
        <v>24979.392767999998</v>
      </c>
    </row>
    <row r="25" spans="1:17" x14ac:dyDescent="0.25">
      <c r="A25" s="164" t="s">
        <v>206</v>
      </c>
      <c r="B25" s="99">
        <v>400</v>
      </c>
      <c r="C25" s="99">
        <f t="shared" si="0"/>
        <v>4800</v>
      </c>
      <c r="D25" s="166">
        <f t="shared" si="1"/>
        <v>5</v>
      </c>
      <c r="E25" s="166">
        <f t="shared" si="6"/>
        <v>5</v>
      </c>
      <c r="F25" s="99">
        <f t="shared" si="5"/>
        <v>400</v>
      </c>
      <c r="G25" s="99">
        <f t="shared" si="8"/>
        <v>4800</v>
      </c>
      <c r="H25" s="99">
        <f t="shared" si="8"/>
        <v>4896</v>
      </c>
      <c r="I25" s="99">
        <f t="shared" si="8"/>
        <v>4993.92</v>
      </c>
      <c r="J25" s="99">
        <f t="shared" si="8"/>
        <v>5093.7983999999997</v>
      </c>
      <c r="K25" s="99">
        <f t="shared" si="8"/>
        <v>5195.674368</v>
      </c>
      <c r="L25" s="99">
        <f t="shared" si="8"/>
        <v>0</v>
      </c>
      <c r="M25" s="99">
        <f t="shared" si="8"/>
        <v>0</v>
      </c>
      <c r="N25" s="99">
        <f t="shared" si="8"/>
        <v>0</v>
      </c>
      <c r="O25" s="99">
        <f t="shared" si="8"/>
        <v>0</v>
      </c>
      <c r="P25" s="99">
        <f t="shared" si="8"/>
        <v>0</v>
      </c>
      <c r="Q25" s="99">
        <f t="shared" si="7"/>
        <v>24979.392767999998</v>
      </c>
    </row>
    <row r="26" spans="1:17" x14ac:dyDescent="0.25">
      <c r="A26" s="164" t="s">
        <v>207</v>
      </c>
      <c r="B26" s="99">
        <v>400</v>
      </c>
      <c r="C26" s="99">
        <f t="shared" si="0"/>
        <v>4800</v>
      </c>
      <c r="D26" s="166">
        <f t="shared" si="1"/>
        <v>5</v>
      </c>
      <c r="E26" s="166">
        <f t="shared" si="6"/>
        <v>5</v>
      </c>
      <c r="F26" s="99">
        <f t="shared" si="5"/>
        <v>400</v>
      </c>
      <c r="G26" s="99">
        <f t="shared" si="8"/>
        <v>4800</v>
      </c>
      <c r="H26" s="99">
        <f t="shared" si="8"/>
        <v>4896</v>
      </c>
      <c r="I26" s="99">
        <f t="shared" si="8"/>
        <v>4993.92</v>
      </c>
      <c r="J26" s="99">
        <f t="shared" si="8"/>
        <v>5093.7983999999997</v>
      </c>
      <c r="K26" s="99">
        <f t="shared" si="8"/>
        <v>5195.674368</v>
      </c>
      <c r="L26" s="99">
        <f t="shared" si="8"/>
        <v>0</v>
      </c>
      <c r="M26" s="99">
        <f t="shared" si="8"/>
        <v>0</v>
      </c>
      <c r="N26" s="99">
        <f t="shared" si="8"/>
        <v>0</v>
      </c>
      <c r="O26" s="99">
        <f t="shared" si="8"/>
        <v>0</v>
      </c>
      <c r="P26" s="99">
        <f t="shared" si="8"/>
        <v>0</v>
      </c>
      <c r="Q26" s="99">
        <f t="shared" si="7"/>
        <v>24979.392767999998</v>
      </c>
    </row>
    <row r="27" spans="1:17" x14ac:dyDescent="0.25">
      <c r="A27" s="164" t="s">
        <v>208</v>
      </c>
      <c r="B27" s="99">
        <v>345</v>
      </c>
      <c r="C27" s="99">
        <f t="shared" si="0"/>
        <v>4140</v>
      </c>
      <c r="D27" s="166">
        <f t="shared" si="1"/>
        <v>5</v>
      </c>
      <c r="E27" s="166">
        <f t="shared" si="6"/>
        <v>5</v>
      </c>
      <c r="F27" s="99">
        <f t="shared" si="5"/>
        <v>345</v>
      </c>
      <c r="G27" s="99">
        <f t="shared" si="8"/>
        <v>4140</v>
      </c>
      <c r="H27" s="99">
        <f t="shared" si="8"/>
        <v>4222.8</v>
      </c>
      <c r="I27" s="99">
        <f t="shared" si="8"/>
        <v>4307.2560000000003</v>
      </c>
      <c r="J27" s="99">
        <f t="shared" si="8"/>
        <v>4393.4011199999995</v>
      </c>
      <c r="K27" s="99">
        <f t="shared" si="8"/>
        <v>4481.2691423999995</v>
      </c>
      <c r="L27" s="99">
        <f t="shared" si="8"/>
        <v>0</v>
      </c>
      <c r="M27" s="99">
        <f t="shared" si="8"/>
        <v>0</v>
      </c>
      <c r="N27" s="99">
        <f t="shared" si="8"/>
        <v>0</v>
      </c>
      <c r="O27" s="99">
        <f t="shared" si="8"/>
        <v>0</v>
      </c>
      <c r="P27" s="99">
        <f t="shared" si="8"/>
        <v>0</v>
      </c>
      <c r="Q27" s="99">
        <f t="shared" si="7"/>
        <v>21544.7262624</v>
      </c>
    </row>
    <row r="28" spans="1:17" x14ac:dyDescent="0.25">
      <c r="A28" s="164" t="s">
        <v>209</v>
      </c>
      <c r="B28" s="99">
        <v>296</v>
      </c>
      <c r="C28" s="99">
        <f t="shared" si="0"/>
        <v>3552</v>
      </c>
      <c r="D28" s="166">
        <f t="shared" si="1"/>
        <v>5</v>
      </c>
      <c r="E28" s="166">
        <f t="shared" si="6"/>
        <v>5</v>
      </c>
      <c r="F28" s="99">
        <f t="shared" si="5"/>
        <v>296</v>
      </c>
      <c r="G28" s="99">
        <f t="shared" si="8"/>
        <v>3552</v>
      </c>
      <c r="H28" s="99">
        <f t="shared" si="8"/>
        <v>3623.04</v>
      </c>
      <c r="I28" s="99">
        <f t="shared" si="8"/>
        <v>3695.5007999999998</v>
      </c>
      <c r="J28" s="99">
        <f t="shared" si="8"/>
        <v>3769.4108159999996</v>
      </c>
      <c r="K28" s="99">
        <f t="shared" si="8"/>
        <v>3844.7990323199997</v>
      </c>
      <c r="L28" s="99">
        <f t="shared" si="8"/>
        <v>0</v>
      </c>
      <c r="M28" s="99">
        <f t="shared" si="8"/>
        <v>0</v>
      </c>
      <c r="N28" s="99">
        <f t="shared" si="8"/>
        <v>0</v>
      </c>
      <c r="O28" s="99">
        <f t="shared" si="8"/>
        <v>0</v>
      </c>
      <c r="P28" s="99">
        <f t="shared" si="8"/>
        <v>0</v>
      </c>
      <c r="Q28" s="99">
        <f t="shared" si="7"/>
        <v>18484.750648319998</v>
      </c>
    </row>
    <row r="29" spans="1:17" x14ac:dyDescent="0.25">
      <c r="A29" s="164" t="s">
        <v>210</v>
      </c>
      <c r="B29" s="99">
        <v>250</v>
      </c>
      <c r="C29" s="99">
        <f t="shared" si="0"/>
        <v>3000</v>
      </c>
      <c r="D29" s="166">
        <f t="shared" si="1"/>
        <v>5</v>
      </c>
      <c r="E29" s="166">
        <f t="shared" si="6"/>
        <v>5</v>
      </c>
      <c r="F29" s="99">
        <f t="shared" si="5"/>
        <v>250</v>
      </c>
      <c r="G29" s="99">
        <f t="shared" si="8"/>
        <v>3000</v>
      </c>
      <c r="H29" s="99">
        <f t="shared" si="8"/>
        <v>3060</v>
      </c>
      <c r="I29" s="99">
        <f t="shared" si="8"/>
        <v>3121.2</v>
      </c>
      <c r="J29" s="99">
        <f t="shared" si="8"/>
        <v>3183.6239999999998</v>
      </c>
      <c r="K29" s="99">
        <f t="shared" si="8"/>
        <v>3247.29648</v>
      </c>
      <c r="L29" s="99">
        <f t="shared" si="8"/>
        <v>0</v>
      </c>
      <c r="M29" s="99">
        <f t="shared" si="8"/>
        <v>0</v>
      </c>
      <c r="N29" s="99">
        <f t="shared" si="8"/>
        <v>0</v>
      </c>
      <c r="O29" s="99">
        <f t="shared" si="8"/>
        <v>0</v>
      </c>
      <c r="P29" s="99">
        <f t="shared" si="8"/>
        <v>0</v>
      </c>
      <c r="Q29" s="99">
        <f t="shared" si="7"/>
        <v>15612.120480000001</v>
      </c>
    </row>
    <row r="30" spans="1:17" x14ac:dyDescent="0.25">
      <c r="A30" s="164" t="s">
        <v>211</v>
      </c>
      <c r="B30" s="99">
        <v>400</v>
      </c>
      <c r="C30" s="99">
        <f t="shared" si="0"/>
        <v>4800</v>
      </c>
      <c r="D30" s="166">
        <f t="shared" si="1"/>
        <v>5</v>
      </c>
      <c r="E30" s="166">
        <f t="shared" si="6"/>
        <v>5</v>
      </c>
      <c r="F30" s="99">
        <f t="shared" si="5"/>
        <v>400</v>
      </c>
      <c r="G30" s="99">
        <f t="shared" si="8"/>
        <v>4800</v>
      </c>
      <c r="H30" s="99">
        <f t="shared" si="8"/>
        <v>4896</v>
      </c>
      <c r="I30" s="99">
        <f t="shared" si="8"/>
        <v>4993.92</v>
      </c>
      <c r="J30" s="99">
        <f t="shared" si="8"/>
        <v>5093.7983999999997</v>
      </c>
      <c r="K30" s="99">
        <f t="shared" si="8"/>
        <v>5195.674368</v>
      </c>
      <c r="L30" s="99">
        <f t="shared" si="8"/>
        <v>0</v>
      </c>
      <c r="M30" s="99">
        <f t="shared" si="8"/>
        <v>0</v>
      </c>
      <c r="N30" s="99">
        <f t="shared" si="8"/>
        <v>0</v>
      </c>
      <c r="O30" s="99">
        <f t="shared" si="8"/>
        <v>0</v>
      </c>
      <c r="P30" s="99">
        <f t="shared" si="8"/>
        <v>0</v>
      </c>
      <c r="Q30" s="99">
        <f t="shared" si="7"/>
        <v>24979.392767999998</v>
      </c>
    </row>
    <row r="31" spans="1:17" x14ac:dyDescent="0.25">
      <c r="A31" s="164" t="s">
        <v>212</v>
      </c>
      <c r="B31" s="99">
        <v>250</v>
      </c>
      <c r="C31" s="99">
        <f t="shared" si="0"/>
        <v>3000</v>
      </c>
      <c r="D31" s="166">
        <f t="shared" si="1"/>
        <v>5</v>
      </c>
      <c r="E31" s="166">
        <f t="shared" si="6"/>
        <v>5</v>
      </c>
      <c r="F31" s="99">
        <f t="shared" si="5"/>
        <v>250</v>
      </c>
      <c r="G31" s="99">
        <f t="shared" si="8"/>
        <v>3000</v>
      </c>
      <c r="H31" s="99">
        <f t="shared" si="8"/>
        <v>3060</v>
      </c>
      <c r="I31" s="99">
        <f t="shared" si="8"/>
        <v>3121.2</v>
      </c>
      <c r="J31" s="99">
        <f t="shared" si="8"/>
        <v>3183.6239999999998</v>
      </c>
      <c r="K31" s="99">
        <f t="shared" si="8"/>
        <v>3247.29648</v>
      </c>
      <c r="L31" s="99">
        <f t="shared" si="8"/>
        <v>0</v>
      </c>
      <c r="M31" s="99">
        <f t="shared" si="8"/>
        <v>0</v>
      </c>
      <c r="N31" s="99">
        <f t="shared" si="8"/>
        <v>0</v>
      </c>
      <c r="O31" s="99">
        <f t="shared" si="8"/>
        <v>0</v>
      </c>
      <c r="P31" s="99">
        <f t="shared" si="8"/>
        <v>0</v>
      </c>
      <c r="Q31" s="99">
        <f t="shared" si="7"/>
        <v>15612.120480000001</v>
      </c>
    </row>
    <row r="32" spans="1:17" x14ac:dyDescent="0.25">
      <c r="A32" s="164" t="s">
        <v>213</v>
      </c>
      <c r="B32" s="99">
        <v>296</v>
      </c>
      <c r="C32" s="99">
        <f t="shared" si="0"/>
        <v>3552</v>
      </c>
      <c r="D32" s="166">
        <f t="shared" si="1"/>
        <v>5</v>
      </c>
      <c r="E32" s="166">
        <f t="shared" si="6"/>
        <v>5</v>
      </c>
      <c r="F32" s="99">
        <f t="shared" si="5"/>
        <v>296</v>
      </c>
      <c r="G32" s="99">
        <f t="shared" si="8"/>
        <v>3552</v>
      </c>
      <c r="H32" s="99">
        <f t="shared" si="8"/>
        <v>3623.04</v>
      </c>
      <c r="I32" s="99">
        <f t="shared" si="8"/>
        <v>3695.5007999999998</v>
      </c>
      <c r="J32" s="99">
        <f t="shared" si="8"/>
        <v>3769.4108159999996</v>
      </c>
      <c r="K32" s="99">
        <f t="shared" si="8"/>
        <v>3844.7990323199997</v>
      </c>
      <c r="L32" s="99">
        <f t="shared" si="8"/>
        <v>0</v>
      </c>
      <c r="M32" s="99">
        <f t="shared" si="8"/>
        <v>0</v>
      </c>
      <c r="N32" s="99">
        <f t="shared" si="8"/>
        <v>0</v>
      </c>
      <c r="O32" s="99">
        <f t="shared" si="8"/>
        <v>0</v>
      </c>
      <c r="P32" s="99">
        <f t="shared" si="8"/>
        <v>0</v>
      </c>
      <c r="Q32" s="99">
        <f t="shared" si="7"/>
        <v>18484.750648319998</v>
      </c>
    </row>
    <row r="33" spans="1:17" x14ac:dyDescent="0.25">
      <c r="A33" s="165" t="s">
        <v>159</v>
      </c>
      <c r="B33" s="109"/>
      <c r="C33" s="162">
        <f>SUM(C13:C32)</f>
        <v>88944</v>
      </c>
      <c r="D33" s="163"/>
      <c r="E33" s="163"/>
      <c r="F33" s="162">
        <f t="shared" ref="F33:Q33" si="9">SUM(F13:F32)</f>
        <v>7412</v>
      </c>
      <c r="G33" s="162">
        <f t="shared" si="9"/>
        <v>88944</v>
      </c>
      <c r="H33" s="162">
        <f t="shared" si="9"/>
        <v>90722.87999999999</v>
      </c>
      <c r="I33" s="162">
        <f t="shared" si="9"/>
        <v>92537.33759999997</v>
      </c>
      <c r="J33" s="162">
        <f t="shared" si="9"/>
        <v>94388.084351999976</v>
      </c>
      <c r="K33" s="162">
        <f t="shared" si="9"/>
        <v>96275.846039040029</v>
      </c>
      <c r="L33" s="162">
        <f t="shared" si="9"/>
        <v>0</v>
      </c>
      <c r="M33" s="162">
        <f t="shared" si="9"/>
        <v>0</v>
      </c>
      <c r="N33" s="162">
        <f t="shared" si="9"/>
        <v>0</v>
      </c>
      <c r="O33" s="162">
        <f t="shared" si="9"/>
        <v>0</v>
      </c>
      <c r="P33" s="162">
        <f t="shared" si="9"/>
        <v>0</v>
      </c>
      <c r="Q33" s="162">
        <f t="shared" si="9"/>
        <v>462868.14799104002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showGridLines="0" workbookViewId="0">
      <selection activeCell="C11" sqref="C11"/>
    </sheetView>
  </sheetViews>
  <sheetFormatPr defaultRowHeight="15" x14ac:dyDescent="0.25"/>
  <cols>
    <col min="1" max="1" width="25.7109375" customWidth="1"/>
    <col min="2" max="2" width="27" bestFit="1" customWidth="1"/>
    <col min="3" max="3" width="15.7109375" customWidth="1"/>
    <col min="4" max="4" width="20.7109375" bestFit="1" customWidth="1"/>
    <col min="5" max="5" width="10.7109375" customWidth="1"/>
    <col min="6" max="6" width="19" customWidth="1"/>
    <col min="7" max="7" width="18.7109375" bestFit="1" customWidth="1"/>
    <col min="8" max="8" width="8.7109375" customWidth="1"/>
  </cols>
  <sheetData>
    <row r="1" spans="1:9" ht="24.95" customHeight="1" x14ac:dyDescent="0.35">
      <c r="A1" s="37" t="s">
        <v>139</v>
      </c>
      <c r="B1" s="38"/>
    </row>
    <row r="2" spans="1:9" ht="18" customHeight="1" x14ac:dyDescent="0.25"/>
    <row r="3" spans="1:9" ht="14.1" customHeight="1" x14ac:dyDescent="0.25">
      <c r="A3" s="153" t="s">
        <v>228</v>
      </c>
      <c r="B3" s="154"/>
      <c r="D3" s="39" t="s">
        <v>141</v>
      </c>
      <c r="E3" s="20" t="s">
        <v>216</v>
      </c>
      <c r="F3" s="43" t="s">
        <v>222</v>
      </c>
      <c r="G3" s="43" t="s">
        <v>142</v>
      </c>
      <c r="H3" s="19" t="s">
        <v>143</v>
      </c>
      <c r="I3" s="19" t="s">
        <v>229</v>
      </c>
    </row>
    <row r="4" spans="1:9" ht="14.1" customHeight="1" x14ac:dyDescent="0.25">
      <c r="A4" s="30" t="s">
        <v>217</v>
      </c>
      <c r="B4" s="105" t="s">
        <v>269</v>
      </c>
      <c r="D4" s="31" t="s">
        <v>270</v>
      </c>
      <c r="E4" s="40">
        <v>8.1</v>
      </c>
      <c r="F4" s="32">
        <v>86420</v>
      </c>
      <c r="G4" s="32">
        <v>2892.6</v>
      </c>
      <c r="H4" s="106">
        <f t="shared" ref="H4:H9" si="0">G4/F4</f>
        <v>3.3471418653089564E-2</v>
      </c>
      <c r="I4" s="32" t="s">
        <v>224</v>
      </c>
    </row>
    <row r="5" spans="1:9" ht="14.1" customHeight="1" x14ac:dyDescent="0.25">
      <c r="A5" s="30" t="s">
        <v>140</v>
      </c>
      <c r="B5" s="105" t="s">
        <v>221</v>
      </c>
      <c r="D5" s="31" t="s">
        <v>270</v>
      </c>
      <c r="E5" s="40"/>
      <c r="F5" s="32">
        <v>97380</v>
      </c>
      <c r="G5" s="32">
        <v>2921.4</v>
      </c>
      <c r="H5" s="106">
        <f t="shared" si="0"/>
        <v>3.0000000000000002E-2</v>
      </c>
      <c r="I5" s="32" t="s">
        <v>224</v>
      </c>
    </row>
    <row r="6" spans="1:9" ht="14.1" customHeight="1" x14ac:dyDescent="0.25">
      <c r="A6" s="30" t="s">
        <v>144</v>
      </c>
      <c r="B6" s="105" t="s">
        <v>218</v>
      </c>
      <c r="D6" s="31" t="s">
        <v>270</v>
      </c>
      <c r="E6" s="40">
        <v>8.1</v>
      </c>
      <c r="F6" s="32">
        <v>99940</v>
      </c>
      <c r="G6" s="32">
        <v>2998.2</v>
      </c>
      <c r="H6" s="106">
        <f t="shared" si="0"/>
        <v>0.03</v>
      </c>
      <c r="I6" s="32" t="s">
        <v>224</v>
      </c>
    </row>
    <row r="7" spans="1:9" ht="14.1" customHeight="1" x14ac:dyDescent="0.25">
      <c r="A7" s="30" t="s">
        <v>219</v>
      </c>
      <c r="B7" s="105" t="s">
        <v>220</v>
      </c>
      <c r="D7" s="31" t="s">
        <v>270</v>
      </c>
      <c r="E7" s="40">
        <v>0.6</v>
      </c>
      <c r="F7" s="32">
        <v>35740</v>
      </c>
      <c r="G7" s="32">
        <v>1072.2</v>
      </c>
      <c r="H7" s="106">
        <f t="shared" si="0"/>
        <v>3.0000000000000002E-2</v>
      </c>
      <c r="I7" s="32" t="s">
        <v>224</v>
      </c>
    </row>
    <row r="8" spans="1:9" x14ac:dyDescent="0.25">
      <c r="A8" s="30" t="s">
        <v>145</v>
      </c>
      <c r="B8" s="108"/>
      <c r="D8" s="31" t="s">
        <v>270</v>
      </c>
      <c r="E8" s="40">
        <v>0.6</v>
      </c>
      <c r="F8" s="32">
        <v>2760</v>
      </c>
      <c r="G8" s="32">
        <v>82.8</v>
      </c>
      <c r="H8" s="106">
        <f t="shared" si="0"/>
        <v>0.03</v>
      </c>
      <c r="I8" s="32" t="s">
        <v>224</v>
      </c>
    </row>
    <row r="9" spans="1:9" ht="15.75" thickBot="1" x14ac:dyDescent="0.3">
      <c r="A9" s="30" t="s">
        <v>258</v>
      </c>
      <c r="B9" s="105" t="s">
        <v>262</v>
      </c>
      <c r="C9" s="34" t="s">
        <v>227</v>
      </c>
      <c r="D9" s="31" t="s">
        <v>270</v>
      </c>
      <c r="E9" s="41">
        <v>2.97</v>
      </c>
      <c r="F9" s="33">
        <v>28120</v>
      </c>
      <c r="G9" s="33">
        <v>843.6</v>
      </c>
      <c r="H9" s="106">
        <f t="shared" si="0"/>
        <v>3.0000000000000002E-2</v>
      </c>
      <c r="I9" s="33" t="s">
        <v>224</v>
      </c>
    </row>
    <row r="10" spans="1:9" ht="15.75" thickBot="1" x14ac:dyDescent="0.3">
      <c r="A10" s="30" t="s">
        <v>259</v>
      </c>
      <c r="B10" s="105" t="s">
        <v>264</v>
      </c>
      <c r="C10" s="34" t="s">
        <v>227</v>
      </c>
      <c r="D10" s="35" t="s">
        <v>223</v>
      </c>
      <c r="E10" s="42">
        <f>SUM(E4:E9)</f>
        <v>20.37</v>
      </c>
      <c r="F10" s="36">
        <f>SUM(F4:F9)</f>
        <v>350360</v>
      </c>
      <c r="G10" s="36">
        <f>SUM(G4:G9)</f>
        <v>10810.800000000001</v>
      </c>
      <c r="H10" s="35"/>
      <c r="I10" s="36"/>
    </row>
    <row r="11" spans="1:9" x14ac:dyDescent="0.25">
      <c r="A11" s="30" t="s">
        <v>260</v>
      </c>
      <c r="B11" s="107" t="s">
        <v>226</v>
      </c>
      <c r="C11" s="34" t="s">
        <v>227</v>
      </c>
    </row>
    <row r="12" spans="1:9" x14ac:dyDescent="0.25">
      <c r="A12" s="30" t="s">
        <v>261</v>
      </c>
      <c r="B12" s="107" t="s">
        <v>225</v>
      </c>
      <c r="C12" s="34" t="s">
        <v>227</v>
      </c>
    </row>
    <row r="13" spans="1:9" x14ac:dyDescent="0.25">
      <c r="B13" s="44"/>
    </row>
  </sheetData>
  <hyperlinks>
    <hyperlink ref="B11" r:id="rId1" xr:uid="{7C3FC00C-AB4E-4109-A5B7-BDD4860CFCF3}"/>
    <hyperlink ref="B12" r:id="rId2" location="data_s=id%3AdataSource_34-1948ede4efe-layer-10%3A18361" xr:uid="{2305E905-A1EF-4260-AE52-153E007F0C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</vt:lpstr>
      <vt:lpstr>BOV </vt:lpstr>
      <vt:lpstr>Land</vt:lpstr>
      <vt:lpstr>POH </vt:lpstr>
      <vt:lpstr>Cash Flow Model</vt:lpstr>
      <vt:lpstr>IRR by Exit Year Analysis</vt:lpstr>
      <vt:lpstr>Loan Amortization </vt:lpstr>
      <vt:lpstr>RTO</vt:lpstr>
      <vt:lpstr>Property Tax Working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COMPUTER</cp:lastModifiedBy>
  <cp:revision>0</cp:revision>
  <dcterms:created xsi:type="dcterms:W3CDTF">2026-10-07T07:47:00Z</dcterms:created>
  <dcterms:modified xsi:type="dcterms:W3CDTF">2026-10-15T10:32:50Z</dcterms:modified>
  <dc:language>en-US</dc:language>
</cp:coreProperties>
</file>